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550" windowHeight="10080"/>
  </bookViews>
  <sheets>
    <sheet name="Sheet1" sheetId="1" r:id="rId1"/>
  </sheets>
  <externalReferences>
    <externalReference r:id="rId5"/>
  </externalReferences>
  <definedNames>
    <definedName name="_xlnm._FilterDatabase" localSheetId="0" hidden="1">Sheet1!$A$1:$E$148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<sst xmlns="http://schemas.openxmlformats.org/spreadsheetml/2006/main" count="856" uniqueCount="627">
  <si>
    <t>Table Name</t>
  </si>
  <si>
    <t>Label</t>
  </si>
  <si>
    <t>Scenario/Explanation</t>
  </si>
  <si>
    <t>Area</t>
  </si>
  <si>
    <t>AssetBook</t>
  </si>
  <si>
    <t>Fixed asset book</t>
  </si>
  <si>
    <t>Fixed asset</t>
  </si>
  <si>
    <t>AssetGroup</t>
  </si>
  <si>
    <t>Fixed asset groups</t>
  </si>
  <si>
    <t>AssetTable</t>
  </si>
  <si>
    <t>Fixed assets</t>
  </si>
  <si>
    <t>AssetTrans</t>
  </si>
  <si>
    <t>Fixed asset transactions</t>
  </si>
  <si>
    <t>BankAccountTable</t>
  </si>
  <si>
    <t>Bank accounts</t>
  </si>
  <si>
    <t>Finance</t>
  </si>
  <si>
    <t>BankAccountTrans</t>
  </si>
  <si>
    <t>Bank transactions</t>
  </si>
  <si>
    <t>BOM</t>
  </si>
  <si>
    <t>BOM lines</t>
  </si>
  <si>
    <t>Production</t>
  </si>
  <si>
    <t>BOMTable</t>
  </si>
  <si>
    <t>Bills of materials</t>
  </si>
  <si>
    <t>BOMVersion</t>
  </si>
  <si>
    <t>BOM versions</t>
  </si>
  <si>
    <t>CompanyInfo</t>
  </si>
  <si>
    <t>Legal entities</t>
  </si>
  <si>
    <t>GAB</t>
  </si>
  <si>
    <t>Currency</t>
  </si>
  <si>
    <t>Currency table</t>
  </si>
  <si>
    <t>GL</t>
  </si>
  <si>
    <t>CustBankAccount</t>
  </si>
  <si>
    <t>Customer bank accounts</t>
  </si>
  <si>
    <t>AR</t>
  </si>
  <si>
    <t>CustCollectionsContact</t>
  </si>
  <si>
    <t>Customer collections contact person</t>
  </si>
  <si>
    <t>Sales</t>
  </si>
  <si>
    <t>CustGroup</t>
  </si>
  <si>
    <t>Customer groups</t>
  </si>
  <si>
    <t>CustInvoiceJour</t>
  </si>
  <si>
    <t>Customer invoice journal</t>
  </si>
  <si>
    <t>CustInvoiceTrans</t>
  </si>
  <si>
    <t>Customer invoice lines</t>
  </si>
  <si>
    <t>CustPackingSlipJour</t>
  </si>
  <si>
    <t>Customer packing slips</t>
  </si>
  <si>
    <t>CustPackingSlipTrans</t>
  </si>
  <si>
    <t>Customer - packing slip lines</t>
  </si>
  <si>
    <t>CustPaymModeTable</t>
  </si>
  <si>
    <t>Methods of payment - customers</t>
  </si>
  <si>
    <t>CustSettlement</t>
  </si>
  <si>
    <t>Customer settlement</t>
  </si>
  <si>
    <t>CustTable</t>
  </si>
  <si>
    <t>Customers</t>
  </si>
  <si>
    <t>CustTrans</t>
  </si>
  <si>
    <t>Customer transactions</t>
  </si>
  <si>
    <t>CustTransOpen</t>
  </si>
  <si>
    <t>Open customer transactions</t>
  </si>
  <si>
    <t>DimensionAttribute</t>
  </si>
  <si>
    <t>Dimension</t>
  </si>
  <si>
    <t>DimensionAttributeValue</t>
  </si>
  <si>
    <t>Dimension code</t>
  </si>
  <si>
    <t>DimensionAttributeValueSet</t>
  </si>
  <si>
    <t>Dimension code set</t>
  </si>
  <si>
    <t>DirOrganization</t>
  </si>
  <si>
    <t>Organizations</t>
  </si>
  <si>
    <t>DirPartyLocation</t>
  </si>
  <si>
    <t>Party location relationships</t>
  </si>
  <si>
    <t>DirPartyTable</t>
  </si>
  <si>
    <t>Global address book</t>
  </si>
  <si>
    <t>DirPerson</t>
  </si>
  <si>
    <t>People</t>
  </si>
  <si>
    <t>DirPersonName</t>
  </si>
  <si>
    <t>Person name</t>
  </si>
  <si>
    <t>EcoResProduct</t>
  </si>
  <si>
    <t>Products</t>
  </si>
  <si>
    <t>Inventory</t>
  </si>
  <si>
    <t>ExchangeRate</t>
  </si>
  <si>
    <t>Exchange rate</t>
  </si>
  <si>
    <t>FiscalCalendar</t>
  </si>
  <si>
    <t>Fiscal calendar</t>
  </si>
  <si>
    <t>FiscalCalendarPeriod</t>
  </si>
  <si>
    <t>Fiscal calendar period</t>
  </si>
  <si>
    <t>GeneralJournalAccountEntry</t>
  </si>
  <si>
    <t>General journal account entry</t>
  </si>
  <si>
    <t>GeneralJournalEntry</t>
  </si>
  <si>
    <t>General journal entry</t>
  </si>
  <si>
    <t>InterCompanyTradingRelation</t>
  </si>
  <si>
    <t>Trading relationship</t>
  </si>
  <si>
    <t>Intercompany</t>
  </si>
  <si>
    <t>InventBatch</t>
  </si>
  <si>
    <t>Batches</t>
  </si>
  <si>
    <t>InventBuyerGroup</t>
  </si>
  <si>
    <t>Buyer groups</t>
  </si>
  <si>
    <t>InventDim</t>
  </si>
  <si>
    <t>Inventory dimensions</t>
  </si>
  <si>
    <t>InventDimCombination</t>
  </si>
  <si>
    <t>Released product variants</t>
  </si>
  <si>
    <t>InventItemGroup</t>
  </si>
  <si>
    <t>Item groups</t>
  </si>
  <si>
    <t>InventItemGroupItem</t>
  </si>
  <si>
    <t>Relationship between items and item groups</t>
  </si>
  <si>
    <t>InventItemLocation</t>
  </si>
  <si>
    <t>Warehouse items</t>
  </si>
  <si>
    <t>InventItemPrice</t>
  </si>
  <si>
    <t>Price</t>
  </si>
  <si>
    <t>InventJournalTable</t>
  </si>
  <si>
    <t>Inventory journal table</t>
  </si>
  <si>
    <t>InventJournalTrans</t>
  </si>
  <si>
    <t>Inventory journal lines</t>
  </si>
  <si>
    <t>InventLocation</t>
  </si>
  <si>
    <t>Warehouses</t>
  </si>
  <si>
    <t>InventModelGroup</t>
  </si>
  <si>
    <t>Item model groups</t>
  </si>
  <si>
    <t>InventPosting</t>
  </si>
  <si>
    <t>Item, ledger posting</t>
  </si>
  <si>
    <t>InventQuarantineOrder</t>
  </si>
  <si>
    <t>Quarantine order</t>
  </si>
  <si>
    <t>Quality</t>
  </si>
  <si>
    <t>InventSerial</t>
  </si>
  <si>
    <t>Serial numbers</t>
  </si>
  <si>
    <t>InventSite</t>
  </si>
  <si>
    <t>Site</t>
  </si>
  <si>
    <t>InventSum</t>
  </si>
  <si>
    <t>On-hand inventory</t>
  </si>
  <si>
    <t>InventTable</t>
  </si>
  <si>
    <t>Items</t>
  </si>
  <si>
    <t>InventTableModule</t>
  </si>
  <si>
    <t>Inventory module parameters</t>
  </si>
  <si>
    <t>InventTestGroup</t>
  </si>
  <si>
    <t>Test groups</t>
  </si>
  <si>
    <t>InventTestTable</t>
  </si>
  <si>
    <t>Tests</t>
  </si>
  <si>
    <t>InventTestVariable</t>
  </si>
  <si>
    <t>Test variables</t>
  </si>
  <si>
    <t>InventTrans</t>
  </si>
  <si>
    <t>Inventory transactions</t>
  </si>
  <si>
    <t>InventTransOrigin</t>
  </si>
  <si>
    <t>Inventory transactions originator</t>
  </si>
  <si>
    <t>Ledger</t>
  </si>
  <si>
    <t>LedgerChartOfAccounts</t>
  </si>
  <si>
    <t>Chart of accounts</t>
  </si>
  <si>
    <t>LedgerJournalTable</t>
  </si>
  <si>
    <t>Ledger journal table</t>
  </si>
  <si>
    <t>LedgerJournalTrans</t>
  </si>
  <si>
    <t>Journal lines</t>
  </si>
  <si>
    <t>LedgerJournalTrans_Asset</t>
  </si>
  <si>
    <t>Asset journal lines</t>
  </si>
  <si>
    <t>LogisticsAddressCity</t>
  </si>
  <si>
    <t>Cities</t>
  </si>
  <si>
    <t>LogisticsAddressCountryRegion</t>
  </si>
  <si>
    <t>Country/region</t>
  </si>
  <si>
    <t>LogisticsAddressState</t>
  </si>
  <si>
    <t>States</t>
  </si>
  <si>
    <t>LogisticsElectronicAddress</t>
  </si>
  <si>
    <t>Communication details</t>
  </si>
  <si>
    <t>LogisticsLocation</t>
  </si>
  <si>
    <t>Locations</t>
  </si>
  <si>
    <t>LogisticsPostalAddress</t>
  </si>
  <si>
    <t>Addresses</t>
  </si>
  <si>
    <t>MainAccount</t>
  </si>
  <si>
    <t>Main account</t>
  </si>
  <si>
    <t>OMHierarchyType</t>
  </si>
  <si>
    <t>Hierarchy</t>
  </si>
  <si>
    <t>OMOperatingUnit</t>
  </si>
  <si>
    <t>Operating unit</t>
  </si>
  <si>
    <t>PriceDiscTable</t>
  </si>
  <si>
    <t>Price agreements</t>
  </si>
  <si>
    <t>Procurement</t>
  </si>
  <si>
    <t>ProdCalcTrans</t>
  </si>
  <si>
    <t>Calculation</t>
  </si>
  <si>
    <t>ProdGroup</t>
  </si>
  <si>
    <t>Production groups</t>
  </si>
  <si>
    <t>ProdJournalBOM</t>
  </si>
  <si>
    <t>BOM journal transactions</t>
  </si>
  <si>
    <t>ProdJournalProd</t>
  </si>
  <si>
    <t>Production journal transactions</t>
  </si>
  <si>
    <t>ProdJournalRoute</t>
  </si>
  <si>
    <t>Routing journal transactions</t>
  </si>
  <si>
    <t>ProdJournalTable</t>
  </si>
  <si>
    <t>Production journal table</t>
  </si>
  <si>
    <t>ProdPool</t>
  </si>
  <si>
    <t>Production pools</t>
  </si>
  <si>
    <t>ProdRoute</t>
  </si>
  <si>
    <t>Production route</t>
  </si>
  <si>
    <t>ProdRouteTrans</t>
  </si>
  <si>
    <t>Route transactions</t>
  </si>
  <si>
    <t>ProdTable</t>
  </si>
  <si>
    <t>Production orders</t>
  </si>
  <si>
    <t>ProjCategory</t>
  </si>
  <si>
    <t>Project category</t>
  </si>
  <si>
    <t>Project</t>
  </si>
  <si>
    <t>ProjCostTrans</t>
  </si>
  <si>
    <t>Project expense transactions</t>
  </si>
  <si>
    <t>ProjEmplTrans</t>
  </si>
  <si>
    <t>Project hour transactions</t>
  </si>
  <si>
    <t>ProjGroup</t>
  </si>
  <si>
    <t>Project groups</t>
  </si>
  <si>
    <t>ProjInvoiceTable</t>
  </si>
  <si>
    <t>Project contracts</t>
  </si>
  <si>
    <t>ProjItemTrans</t>
  </si>
  <si>
    <t>Project item transactions</t>
  </si>
  <si>
    <t>ProjRevenueTrans</t>
  </si>
  <si>
    <t>Project fee transactions</t>
  </si>
  <si>
    <t>ProjTable</t>
  </si>
  <si>
    <t>Projects</t>
  </si>
  <si>
    <t>ProjTransPosting</t>
  </si>
  <si>
    <t>Ledger updates</t>
  </si>
  <si>
    <t>PurchAgreementHeader</t>
  </si>
  <si>
    <t>Purchase agreement</t>
  </si>
  <si>
    <t>PurchLine</t>
  </si>
  <si>
    <t>Purchase order lines</t>
  </si>
  <si>
    <t>AP</t>
  </si>
  <si>
    <t>PurchLineHistory</t>
  </si>
  <si>
    <t>Purchase lines history</t>
  </si>
  <si>
    <t>PurchParameters</t>
  </si>
  <si>
    <t>Purchase parameters</t>
  </si>
  <si>
    <t>PurchReqLine</t>
  </si>
  <si>
    <t>Purchase requisition lines</t>
  </si>
  <si>
    <t>PurchReqTable</t>
  </si>
  <si>
    <t>Purchase requisitions</t>
  </si>
  <si>
    <t>PurchRFQTable</t>
  </si>
  <si>
    <t>Requests for quotations</t>
  </si>
  <si>
    <t>PurchTable</t>
  </si>
  <si>
    <t>Purchase orders</t>
  </si>
  <si>
    <t>PurchTableHistory</t>
  </si>
  <si>
    <t>Purchase order history</t>
  </si>
  <si>
    <t>ReqPO</t>
  </si>
  <si>
    <t>Planned order</t>
  </si>
  <si>
    <t>ReqTrans</t>
  </si>
  <si>
    <t>Net requirements</t>
  </si>
  <si>
    <t>RetailStaffTable</t>
  </si>
  <si>
    <t>Staff</t>
  </si>
  <si>
    <t>Commerce</t>
  </si>
  <si>
    <t>RetailStoreTable</t>
  </si>
  <si>
    <t>Stores</t>
  </si>
  <si>
    <t>RetailTerminalTable</t>
  </si>
  <si>
    <t>POS registers</t>
  </si>
  <si>
    <t>RetailTransactionTable</t>
  </si>
  <si>
    <t>Transactions</t>
  </si>
  <si>
    <t>Route</t>
  </si>
  <si>
    <t>RouteTable</t>
  </si>
  <si>
    <t>Routes</t>
  </si>
  <si>
    <t>SalesLine</t>
  </si>
  <si>
    <t>Order lines</t>
  </si>
  <si>
    <t>SalesParameters</t>
  </si>
  <si>
    <t>Sales parameters</t>
  </si>
  <si>
    <t>SalesQuotationLine</t>
  </si>
  <si>
    <t>Quotation lines</t>
  </si>
  <si>
    <t>SalesQuotationTable</t>
  </si>
  <si>
    <t>Sales quotation</t>
  </si>
  <si>
    <t>SalesTable</t>
  </si>
  <si>
    <t>Sales orders</t>
  </si>
  <si>
    <t>SalesTableHistory</t>
  </si>
  <si>
    <t>Archived sales order header</t>
  </si>
  <si>
    <t>TaxData</t>
  </si>
  <si>
    <t>Sales tax details</t>
  </si>
  <si>
    <t>TaxGroupData</t>
  </si>
  <si>
    <t>Sales tax group</t>
  </si>
  <si>
    <t>TaxTrans</t>
  </si>
  <si>
    <t>Posted sales tax</t>
  </si>
  <si>
    <t>TMSCarrier</t>
  </si>
  <si>
    <t>Carrier</t>
  </si>
  <si>
    <t>TMS</t>
  </si>
  <si>
    <t>TMSRouteTable</t>
  </si>
  <si>
    <t>VendBankAccount</t>
  </si>
  <si>
    <t>Vendor bank accounts</t>
  </si>
  <si>
    <t>VendGroup</t>
  </si>
  <si>
    <t>Vendor groups</t>
  </si>
  <si>
    <t>VendInvoiceInfoLine</t>
  </si>
  <si>
    <t>Vendor invoice lines</t>
  </si>
  <si>
    <t>VendInvoiceInfoTable</t>
  </si>
  <si>
    <t>Vendor invoices</t>
  </si>
  <si>
    <t>VendInvoiceJour</t>
  </si>
  <si>
    <t>Vendor invoice journal</t>
  </si>
  <si>
    <t>VendInvoiceTrans</t>
  </si>
  <si>
    <t>Posted vendor invoice lines</t>
  </si>
  <si>
    <t>VendPackingSlipJour</t>
  </si>
  <si>
    <t>Vendor product receipts</t>
  </si>
  <si>
    <t>VendPackingSlipTrans</t>
  </si>
  <si>
    <t>Vendor - product receipt lines</t>
  </si>
  <si>
    <t>VendPaymModeTable</t>
  </si>
  <si>
    <t>Methods of payment - vendors</t>
  </si>
  <si>
    <t>VendRequest</t>
  </si>
  <si>
    <t>Vendor requests</t>
  </si>
  <si>
    <t>VendSettlement</t>
  </si>
  <si>
    <t>Vendor settlement</t>
  </si>
  <si>
    <t>VendTable</t>
  </si>
  <si>
    <t>Vendors</t>
  </si>
  <si>
    <t>VendTrans</t>
  </si>
  <si>
    <t>Vendor transactions</t>
  </si>
  <si>
    <t>VendTransOpen</t>
  </si>
  <si>
    <t>Open vendor transactions</t>
  </si>
  <si>
    <t>WHSContainerTable</t>
  </si>
  <si>
    <t>Containers</t>
  </si>
  <si>
    <t>WMS</t>
  </si>
  <si>
    <t>WHSInventReserve</t>
  </si>
  <si>
    <t>Inventory reservations</t>
  </si>
  <si>
    <t>WHSLocationProfile</t>
  </si>
  <si>
    <t>Location profiles</t>
  </si>
  <si>
    <t>WHSWaveTable</t>
  </si>
  <si>
    <t>Waves</t>
  </si>
  <si>
    <t>WHSWorkPool</t>
  </si>
  <si>
    <t>Work pools</t>
  </si>
  <si>
    <t>WHSZone</t>
  </si>
  <si>
    <t>Warehouse zones</t>
  </si>
  <si>
    <t>WMSLocation</t>
  </si>
  <si>
    <t>WrkCtrCapRes</t>
  </si>
  <si>
    <t>Capacity reservations</t>
  </si>
  <si>
    <t>WrkCtrTable</t>
  </si>
  <si>
    <t>Resources</t>
  </si>
  <si>
    <t>VendReceiptsListJour</t>
  </si>
  <si>
    <t>Receipts list journal</t>
  </si>
  <si>
    <t>AssetDepBookJournalTable</t>
  </si>
  <si>
    <t>Fixed asset book journal table</t>
  </si>
  <si>
    <t>Asset</t>
  </si>
  <si>
    <t>AssetDepBookJournalTrans</t>
  </si>
  <si>
    <t>Fixed asset book journal line</t>
  </si>
  <si>
    <t>PriceDiscAdmTable</t>
  </si>
  <si>
    <t>Trade agreement journal table</t>
  </si>
  <si>
    <t>PriceDiscAdmTrans</t>
  </si>
  <si>
    <t>Trade agreement journal lines</t>
  </si>
  <si>
    <t>LedgerPostingJournal</t>
  </si>
  <si>
    <t>Posting journals</t>
  </si>
  <si>
    <t>LedgerPostingJournalVoucherSeries</t>
  </si>
  <si>
    <t>Posting journal and voucher series</t>
  </si>
  <si>
    <t>CustVendPaymJournalFee</t>
  </si>
  <si>
    <t>Payment journal fee</t>
  </si>
  <si>
    <t>LedgerJournalTrans_Project</t>
  </si>
  <si>
    <t>Project journal lines</t>
  </si>
  <si>
    <t>LedgerJournalTrans_Allocation</t>
  </si>
  <si>
    <t>Journal allocations</t>
  </si>
  <si>
    <t>LedgerJournalTrans_RAsset</t>
  </si>
  <si>
    <t>LedgerJournalTrans_RCash</t>
  </si>
  <si>
    <t>Cash journal</t>
  </si>
  <si>
    <t>LedgerJournalTrans_RDeferrals</t>
  </si>
  <si>
    <t>Deferrals journal</t>
  </si>
  <si>
    <t>LedgerJournalTableHistory</t>
  </si>
  <si>
    <t>LedgerJournalTable history data.</t>
  </si>
  <si>
    <t>LedgerJournalTransHistory</t>
  </si>
  <si>
    <t>LedgerJournalTrans history data.</t>
  </si>
  <si>
    <t>CredManTable</t>
  </si>
  <si>
    <t>Credit management</t>
  </si>
  <si>
    <t>CustVendCreditInvoicingJour</t>
  </si>
  <si>
    <t>Credit invoicing jour</t>
  </si>
  <si>
    <t>CustVendCreditInvoicingLine</t>
  </si>
  <si>
    <t>Credit invoicing lines</t>
  </si>
  <si>
    <t>CustVendCreditInvoicingTrans</t>
  </si>
  <si>
    <t>Credit invoicing transactions</t>
  </si>
  <si>
    <t>CustInvoiceTable</t>
  </si>
  <si>
    <t>Customer free text invoice</t>
  </si>
  <si>
    <t>CustInvoiceLine</t>
  </si>
  <si>
    <t>Customer free text invoice lines</t>
  </si>
  <si>
    <t>ForecastSales</t>
  </si>
  <si>
    <t>Demand forecast</t>
  </si>
  <si>
    <t>LedgerJournalTransAccrual</t>
  </si>
  <si>
    <t>Ledger accruals</t>
  </si>
  <si>
    <t>LedgerJournal</t>
  </si>
  <si>
    <t>LedgerJournalLine</t>
  </si>
  <si>
    <t>WHSLoadTable</t>
  </si>
  <si>
    <t>Loads</t>
  </si>
  <si>
    <t>WHSLoadLine</t>
  </si>
  <si>
    <t>Load details</t>
  </si>
  <si>
    <t>WHSHistory</t>
  </si>
  <si>
    <t>Load history</t>
  </si>
  <si>
    <t>EntAssetChecklistTemplate</t>
  </si>
  <si>
    <t>Maintenance Checklist template</t>
  </si>
  <si>
    <t>EntAssetChecklistTemplateLine</t>
  </si>
  <si>
    <t>Maintenance checklist template line</t>
  </si>
  <si>
    <t>EntAssetJobTypeDefault</t>
  </si>
  <si>
    <t>Maintenance job type defaults</t>
  </si>
  <si>
    <t>SalesPool</t>
  </si>
  <si>
    <t>Order pools</t>
  </si>
  <si>
    <t>WHSOutboundShipmentOrderLine</t>
  </si>
  <si>
    <t>Outbound shipment order lines</t>
  </si>
  <si>
    <t>WHSOutboundShipmentOrder</t>
  </si>
  <si>
    <t>Outbound shipment orders</t>
  </si>
  <si>
    <t>EcoResProductDimensionGroup</t>
  </si>
  <si>
    <t>Product dimension groups</t>
  </si>
  <si>
    <t>Item</t>
  </si>
  <si>
    <t>RetailKit</t>
  </si>
  <si>
    <t>Product kit</t>
  </si>
  <si>
    <t>EcoResProductIdentifier</t>
  </si>
  <si>
    <t>Product number</t>
  </si>
  <si>
    <t>EcoResNomenclature</t>
  </si>
  <si>
    <t>Product nomenclature</t>
  </si>
  <si>
    <t>EcoResProductVariantVersion</t>
  </si>
  <si>
    <t>Product variant versions</t>
  </si>
  <si>
    <t>EcoResDistinctProductVariant</t>
  </si>
  <si>
    <t>Product variants</t>
  </si>
  <si>
    <t>EcoResProductVariantColor</t>
  </si>
  <si>
    <t>Product variants colors</t>
  </si>
  <si>
    <t>EcoResProductVariantConfiguration</t>
  </si>
  <si>
    <t>Product variants configurations</t>
  </si>
  <si>
    <t>EcoResProductVariantSize</t>
  </si>
  <si>
    <t>Product variants sizes</t>
  </si>
  <si>
    <t>EcoResProductVariantStyle</t>
  </si>
  <si>
    <t>Product variants styles</t>
  </si>
  <si>
    <t>ProdBOM</t>
  </si>
  <si>
    <t>Production BOM</t>
  </si>
  <si>
    <t>WHSProductionScrapHistory</t>
  </si>
  <si>
    <t>Production scrap</t>
  </si>
  <si>
    <t>EcoResProductDimensionGroupProduct</t>
  </si>
  <si>
    <t>Products - dimension groups</t>
  </si>
  <si>
    <t>EcoResStorageDimensionGroupProduct</t>
  </si>
  <si>
    <t>Products - storage dimension groups</t>
  </si>
  <si>
    <t>EcoResTrackingDimensionGroupProduct</t>
  </si>
  <si>
    <t>Products - tracking dimension groups</t>
  </si>
  <si>
    <t>ProjAllocateTrans</t>
  </si>
  <si>
    <t>Project - allocation transaction</t>
  </si>
  <si>
    <t>ProjectAccountingDistribution</t>
  </si>
  <si>
    <t>Project accounting distribution</t>
  </si>
  <si>
    <t>ProjInvoiceJour</t>
  </si>
  <si>
    <t>Project invoice</t>
  </si>
  <si>
    <t>ProjJournalTrans</t>
  </si>
  <si>
    <t>Project journal</t>
  </si>
  <si>
    <t>ProjJournalTable</t>
  </si>
  <si>
    <t>Project journal table</t>
  </si>
  <si>
    <t>PurchPool</t>
  </si>
  <si>
    <t>Purchase pools</t>
  </si>
  <si>
    <t>PurchReqBusJustification</t>
  </si>
  <si>
    <t>Purchase requisition business justification</t>
  </si>
  <si>
    <t>PurchReqLineHistory</t>
  </si>
  <si>
    <t>VendReceiptsListTrans</t>
  </si>
  <si>
    <t>Receipts list lines</t>
  </si>
  <si>
    <t>ResourceSetup</t>
  </si>
  <si>
    <t>Resource</t>
  </si>
  <si>
    <t>UnitOfMeasure</t>
  </si>
  <si>
    <t>Units</t>
  </si>
  <si>
    <t>UnitOfMeasureConversion</t>
  </si>
  <si>
    <t>Unit conversions</t>
  </si>
  <si>
    <t>The "bridge" table defining how one unit translates to another (e.g., 1 Box = 12 Pieces).
Rule: Critical. Check for "Circular Conversions" (A to B, B to A) or missing conversions for items moved between warehouse and sales units.</t>
  </si>
  <si>
    <t>ITMTable</t>
  </si>
  <si>
    <t>Voyages</t>
  </si>
  <si>
    <t>The header for a Voyage. It groups all shipments and containers.
Rule: Ensure VoyageId is unique. Status should not be 'Closed' if child containers are still 'In transit'.</t>
  </si>
  <si>
    <t>All Voyages
Received voyages</t>
  </si>
  <si>
    <t>ITMContainers</t>
  </si>
  <si>
    <t>Voyage containers</t>
  </si>
  <si>
    <t>Stores shipping container details.
Rule: Check if ContainerId is linked to an active Voyage. Verify gross weight/volume isn't zero.</t>
  </si>
  <si>
    <t>All shipping containers</t>
  </si>
  <si>
    <t>ITMFolioTable</t>
  </si>
  <si>
    <t>Folios</t>
  </si>
  <si>
    <t>Groups items within a voyage for customs or billing purposes.
Rule: A Folio must belong to one Voyage. Items in a Folio should usually share the same HSN/Customs code.</t>
  </si>
  <si>
    <t>All folios</t>
  </si>
  <si>
    <t>ITMContainerActivityTable</t>
  </si>
  <si>
    <t>Shipping container activities</t>
  </si>
  <si>
    <t>Tracks the specific journey milestones (e.g., Loading, Customs Clear, Arrival) for Landed Cost shipping containers.
Rule: Activity dates must follow a logical timeline; a container cannot have a "Port of Discharge" date that is earlier than the "Port of Loading" date.</t>
  </si>
  <si>
    <t>Inbound tracking</t>
  </si>
  <si>
    <t>ITMLine</t>
  </si>
  <si>
    <t>Voyage item lines</t>
  </si>
  <si>
    <t>Contains the individual Purchase Order lines associated with a Voyage, used for tracking and cost allocation.
Rule: The sum of quantities across all ITMLine records for a specific PO line cannot exceed the original PurchLine quantity.</t>
  </si>
  <si>
    <t>Voyage lines</t>
  </si>
  <si>
    <t>ITMCostEstimateTable</t>
  </si>
  <si>
    <t>Cost estimates</t>
  </si>
  <si>
    <t>Holds estimated "Landed Costs" (freight, duty, etc.).
Rule: Flag if estimates are missing for voyages in "In Transit" status.</t>
  </si>
  <si>
    <t>ITMStatusTable</t>
  </si>
  <si>
    <t>Voyage statuses</t>
  </si>
  <si>
    <t>Defines the sequence of status codes (e.g., Created, Shipped, Invoiced) for Landed Cost voyages
Rule: Status transitions must be validated against the "Voyage status" configuration to ensure the voyage doesn't skip critical business process steps.</t>
  </si>
  <si>
    <t>ITMCostAutoLine</t>
  </si>
  <si>
    <t>Auto cost lines</t>
  </si>
  <si>
    <t>Rules for automatically applying costs (e.g., 2% freight on all China routes).
Rule: Look for overlapping rules that might double-charge a specific voyage.</t>
  </si>
  <si>
    <t>Auto costs</t>
  </si>
  <si>
    <t>PurchRFQCaseTable</t>
  </si>
  <si>
    <t>Request for quotation cases</t>
  </si>
  <si>
    <t>The header table for Request for Quotation cases, managing the bidding process for specific procurement needs.
Rule: The ExpiryDate and ExpirationTime must be in the future, and the status must be 'Sent' before the system allows vendor bid entries.</t>
  </si>
  <si>
    <t>All requests for quotations</t>
  </si>
  <si>
    <t>CatProcureCatalogTable</t>
  </si>
  <si>
    <t>Procurement catalogs</t>
  </si>
  <si>
    <t>Manages the internal procurement catalogs used by employees to purchase products through the employee self-service portal.
Rule: Verify that the catalog is marked as 'Active' and that the current date falls within the ValidFrom and ValidTo range.</t>
  </si>
  <si>
    <t>CatVendorCatalog</t>
  </si>
  <si>
    <t>Vendor catalogs</t>
  </si>
  <si>
    <t>Holds imported product information and pricing provided directly by external vendors.
Rule: Flag any records where the Price is zero or the Currency code is missing or does not match the vendor's base currency.</t>
  </si>
  <si>
    <t>TAMVendRebateAgreement</t>
  </si>
  <si>
    <t>Rebate agreements</t>
  </si>
  <si>
    <t>Stores the contractual terms for vendor rebates, defining the items, vendors, and calculation methods involved.
Rule: Check for overlapping date ranges for the same Item/Vendor combination to prevent multiple rebate agreements from being applied to a single purchase.</t>
  </si>
  <si>
    <t>Vendor rebate agreements</t>
  </si>
  <si>
    <t>TAMVendRebateTable</t>
  </si>
  <si>
    <t>Rebate</t>
  </si>
  <si>
    <t>Records the actual rebate amounts earned and calculated based on purchase transactions.
Rule: The RebateStatus must be checked; if the rebate is already 'Passed to Ledger', no further manual adjustments to the amount should be permitted.</t>
  </si>
  <si>
    <t>Vendor rebate claims</t>
  </si>
  <si>
    <t>EcoResCategory</t>
  </si>
  <si>
    <t>Category</t>
  </si>
  <si>
    <t>The core table for the product category hierarchy used to classify items for procurement, sales, and reporting.
Rule: Ensure that the ParentCategory link does not create a circular reference where a category is its own ancestor.</t>
  </si>
  <si>
    <t>Procurement Categories</t>
  </si>
  <si>
    <t>Stores the high-level contract details for long-term agreements with vendors (Quantity or Value based).
Rule: The agreement status must be 'Effective' for the system to allow a Purchase Release Order to be linked to it.</t>
  </si>
  <si>
    <t>Purchase Agreements</t>
  </si>
  <si>
    <t>MCRBrokerContractTable</t>
  </si>
  <si>
    <t>Broker contract header</t>
  </si>
  <si>
    <t>Setup for broker commissions on sales/purchases.
Rule: Check if the Broker is also a valid Vendor in VendTable.</t>
  </si>
  <si>
    <t>Broker Contracts</t>
  </si>
  <si>
    <t>MCRRoyaltyVendTable</t>
  </si>
  <si>
    <t>Royalty</t>
  </si>
  <si>
    <t>Setup for royalty payments to intellectual property owners.
Rule: The royalty percentage/amount should be $&gt; 0$.</t>
  </si>
  <si>
    <t>Royalty Claims</t>
  </si>
  <si>
    <t>MarkupAutoLine</t>
  </si>
  <si>
    <t>Auto charges</t>
  </si>
  <si>
    <t>Defines the rules for automatically applying miscellaneous charges (e.g., freight or fees) to purchase or sales orders.
Rule: Validate that the MarkupCode exists and is correctly mapped to a ledger posting account in the Posting setup.</t>
  </si>
  <si>
    <t>Auto Charges</t>
  </si>
  <si>
    <t>LineOfBusiness</t>
  </si>
  <si>
    <t>Line of business</t>
  </si>
  <si>
    <t>Classification of business sectors.
Rule: Ensure this is assigned to Vendors/Customers for reporting accuracy.</t>
  </si>
  <si>
    <t xml:space="preserve">Line Of Business </t>
  </si>
  <si>
    <t>PurchReqBusinessJustificationCodes</t>
  </si>
  <si>
    <t>Business justification</t>
  </si>
  <si>
    <t>Reason codes for why a purchase is needed.
Rule: Ensure a code is mandatory if the workflow requires a justification.</t>
  </si>
  <si>
    <t>Business justifications</t>
  </si>
  <si>
    <t>CustVendItemGroup</t>
  </si>
  <si>
    <t>External item description group</t>
  </si>
  <si>
    <t>Link between Customers/Vendors and Item Groups.
Rule: Prevents selling/buying specific items to/from unauthorized parties.</t>
  </si>
  <si>
    <t>External Item Description Group</t>
  </si>
  <si>
    <t>WMSJournalTable</t>
  </si>
  <si>
    <t>Location journal table</t>
  </si>
  <si>
    <t>Header for WMS-specific journals (e.g., picking or arrival).
Rule: Cannot be deleted if Posted is true. Ensure JournalType matches the intended operation.</t>
  </si>
  <si>
    <t>Item Arrival</t>
  </si>
  <si>
    <t>InventTransferTable</t>
  </si>
  <si>
    <t>Transfer orders</t>
  </si>
  <si>
    <t>Header for Transfer Orders moving stock between warehouses.
Rule: Ship date cannot be after Receipt date. Status must be 'Shipped' before 'Received' transactions can exist.</t>
  </si>
  <si>
    <t>Transfer Orders</t>
  </si>
  <si>
    <t>WMSShipment</t>
  </si>
  <si>
    <t>Shipment</t>
  </si>
  <si>
    <t>High-level grouping of items ready to be shipped.
Rule: Check for orphaned shipments that have no associated WMSOrder or SalesOrder.</t>
  </si>
  <si>
    <t>Shipments</t>
  </si>
  <si>
    <t>MCRPickingWorkbenchSession</t>
  </si>
  <si>
    <t>Picking workbench sessions</t>
  </si>
  <si>
    <t>Stores temporary data for the Call Center picking workbench.
Rule: These are often transient; flag if sessions are "stuck" (open for &gt;24 hours) without a generated pick.</t>
  </si>
  <si>
    <t>Picking Workbench</t>
  </si>
  <si>
    <t>WMSPickingRoute</t>
  </si>
  <si>
    <t>Picking route</t>
  </si>
  <si>
    <t>The actual route/path assigned to a worker for picking.
Rule: Status should move from 'Activated' to 'Completed'. Watch for routes with 0 lines.</t>
  </si>
  <si>
    <t>Picking List Registration</t>
  </si>
  <si>
    <t>WMSOrder</t>
  </si>
  <si>
    <t>Inventory order</t>
  </si>
  <si>
    <t>The warehouse-level demand record for an item.
Rule: Quantity on WMSOrder must match the sum of the associated WMSJournalTrans.</t>
  </si>
  <si>
    <t>Output Orders</t>
  </si>
  <si>
    <t>KWS_StdCostUpload</t>
  </si>
  <si>
    <t>Std cost upload</t>
  </si>
  <si>
    <t>(Custom) Likely a staging table for importing standard costs.
Rule: Flag any records where the NewPrice is $&gt; 20\%$ different from the ActivePrice.</t>
  </si>
  <si>
    <t>Purchase standard cost maintenance</t>
  </si>
  <si>
    <t>InventNumGroup</t>
  </si>
  <si>
    <t>Number groups</t>
  </si>
  <si>
    <t>Defines how batch or serial numbers are automatically assigned (manual vs. chronological).
Rule: Check if a number sequence is exhausted; orphaned items without numbers can occur if the sequence isn't linked to the Item Model Group.</t>
  </si>
  <si>
    <t>Tracking number groups</t>
  </si>
  <si>
    <t>PriceDiscGroup</t>
  </si>
  <si>
    <t>Price groups</t>
  </si>
  <si>
    <t>Groups customers or items for specific discounts.
Rule: Check Module type (Sales/Purch) to ensure it's not being used incorrectly.</t>
  </si>
  <si>
    <t>Item discount groups
Customer price/discount groups</t>
  </si>
  <si>
    <t>PDSCalculationTable</t>
  </si>
  <si>
    <t>Defines the variables for a formula calculation (e.g., calculating active ingredient percentage).
Rule: Flag calculations where the Result is mathematically impossible based on the BatchAttrib inputs.</t>
  </si>
  <si>
    <t>Attribute-based pricing details</t>
  </si>
  <si>
    <t>MarkupTable</t>
  </si>
  <si>
    <t>Charges code</t>
  </si>
  <si>
    <t>Definitions for miscellaneous charges (e.g., Handling Fee).
Rule: Verify the "Posting" setup to ensure it hits the correct GL account.</t>
  </si>
  <si>
    <t>Charge Codes</t>
  </si>
  <si>
    <t>MarkupGroup</t>
  </si>
  <si>
    <t>Charges groups</t>
  </si>
  <si>
    <t>Groups of charges (e.g., "Standard Freight") applied to customers or vendors.
Rule: Ensure the group ID doesn't conflict with a specific MarkupCode to avoid confusion in the auto-charge engine.</t>
  </si>
  <si>
    <t>Customer charge groups
Vendor charge groups</t>
  </si>
  <si>
    <t>TransportPointLine</t>
  </si>
  <si>
    <t>Defines specific "hubs" or "stops" within a transportation route.
Rule: Ensure the geographical sequence of points matches the route distance logic (e.g., Stop 2 shouldn't be further than Stop 3).</t>
  </si>
  <si>
    <t>Transport days</t>
  </si>
  <si>
    <t>InventOrderEntryDeadlineTable</t>
  </si>
  <si>
    <t>Order entry deadlines</t>
  </si>
  <si>
    <t>Defines the latest time an order can be entered to meet a specific delivery date (cutoff times).
Rule: Flag orders where the CreatedDateTime is past the deadline for the requested ShippingDate.</t>
  </si>
  <si>
    <t>InventCountGroup</t>
  </si>
  <si>
    <t>Counting groups</t>
  </si>
  <si>
    <t>Groups items for cycle counting based on frequency (e.g., Daily, Monthly).
Rule: Flag items that haven't been counted within the timeframe specified by the CountingPeriod.</t>
  </si>
  <si>
    <t>InventCountingReasonCode</t>
  </si>
  <si>
    <t>Counting reason codes</t>
  </si>
  <si>
    <t>Mandatory codes used to explain inventory discrepancies during a count.
Rule: Ensure every counting journal line with a variance has a corresponding ReasonCode assigned.</t>
  </si>
  <si>
    <t>InventTestInstrument</t>
  </si>
  <si>
    <t>Test instruments</t>
  </si>
  <si>
    <t>Tracks the physical tools (e.g., thermometers, scales) used to perform quality tests.
Rule: Ensure the instrument’s Precision is higher than the TestVariable tolerance it is measuring.</t>
  </si>
  <si>
    <t>Definition of the specific test (e.g., "Check Humidity").
Rule: Ensure a TestType (Option, Fraction, etc.) is defined.</t>
  </si>
  <si>
    <t>Outcomes for tests (e.g., Pass/Fail, Red/Blue).
Rule: Link to InventTestVariableOutcome to ensure valid choices exist.</t>
  </si>
  <si>
    <t>Test Variables</t>
  </si>
  <si>
    <t>Groups multiple tests into a single "Inspection" plan.
Rule: Check if a group exists without any assigned tests in InventTestGroupMember.</t>
  </si>
  <si>
    <t>InventTestAssociationTable</t>
  </si>
  <si>
    <t>Quality associations</t>
  </si>
  <si>
    <t>The "Trigger" rule (e.g., "Test all items from Vendor X").
Rule: Check for overlapping associations that might trigger duplicate quality orders.</t>
  </si>
  <si>
    <t>InventTestQualityGroup</t>
  </si>
  <si>
    <t>Quality groups</t>
  </si>
  <si>
    <t>Groups items that share the same quality requirements.
Rule: Ensure items in this group are actually assigned to an InventTestAssociationTable.</t>
  </si>
  <si>
    <t>InventTestItemQualityGroup</t>
  </si>
  <si>
    <t>Item quality groups</t>
  </si>
  <si>
    <t>The master definition of a specific quality test (e.g., pH Level or Visual Inspection). 
Rule: Every test must be linked to a valid TestType (Fraction, Option, or Quantity) to ensure results can be calculated.</t>
  </si>
  <si>
    <t>Items in quality groups</t>
  </si>
  <si>
    <t>InventItemSampling</t>
  </si>
  <si>
    <t>Item sampling</t>
  </si>
  <si>
    <t>Defines how much to test (e.g., 10% of the load).
Rule: If set to 'Fixed', quantity must be $&gt; 0$.</t>
  </si>
  <si>
    <t>Item samplings</t>
  </si>
  <si>
    <t>InventTestMiscCharges</t>
  </si>
  <si>
    <t>Quality charges</t>
  </si>
  <si>
    <t>Extra costs associated with quality testing (e.g., laboratory fees).
Rule: Check that the MarkupCode exists and is linked to the correct ledger account for testing expenses.</t>
  </si>
  <si>
    <t>InventPackagingGroup</t>
  </si>
  <si>
    <t>Packing groups</t>
  </si>
  <si>
    <t>Categorizes products by their packaging type (e.g., Plastic, Wood) for tax reporting.</t>
  </si>
  <si>
    <t>InventPackagingMaterialCode</t>
  </si>
  <si>
    <t>Packing material code</t>
  </si>
  <si>
    <t>The specific material definition used for a package (e.g., High-Density Polyethylene).
Rule: Ensure the UnitOfMeasure matches the standard inventory unit of the item.</t>
  </si>
  <si>
    <t>Packing material codes</t>
  </si>
  <si>
    <t>InventPackagingMaterialFee</t>
  </si>
  <si>
    <t>Packing material fee</t>
  </si>
  <si>
    <t>Tax/Fee setup for environmental packaging (e.g., Plastic Tax).
Rule: Check for valid date ranges; fees often change annually.</t>
  </si>
  <si>
    <t>Packing material fees</t>
  </si>
  <si>
    <t>ForecastModel</t>
  </si>
  <si>
    <t>Forecast models</t>
  </si>
  <si>
    <t>The "Budget" or "Forecast" bucket name.
Rule: Ensure the Stopped flag is No if active imports are expected.</t>
  </si>
  <si>
    <t>ForecastItemAllocation</t>
  </si>
  <si>
    <t>Item allocation keys</t>
  </si>
  <si>
    <t>Distributes a total forecast quantity across a specific group of items.
Rule: The sum of all AllocationPercentages in a group must equal exactly 100%.</t>
  </si>
  <si>
    <t>LedgerAllocateKey</t>
  </si>
  <si>
    <t>Period allocation key</t>
  </si>
  <si>
    <t>Rules for distributing financial amounts across different dimensions (e.g., splitting a utility bill across Departments).
Rule: Check for inactive MainAccounts or FinancialDimensions within the allocation lines.</t>
  </si>
  <si>
    <t>Period allocation categories</t>
  </si>
  <si>
    <t>PdsComdPricingTemplate</t>
  </si>
  <si>
    <t>Commodity pricing template</t>
  </si>
  <si>
    <t>Templates for pricing goods based on market commodities (e.g., pricing chocolate based on the price of Cocoa).
Rule: Verify the template is linked to an active CommodityCode and has a valid CalculationDate.</t>
  </si>
  <si>
    <t>PdsDispositionMaster</t>
  </si>
  <si>
    <t>Batch disposition master</t>
  </si>
  <si>
    <t>Defines what happens to returned/failed batches (e.g., Scrap, Rework).
Rule: Ensure the InventoryStatus linked to the disposition is valid.</t>
  </si>
  <si>
    <t>PdsBatchAttrib</t>
  </si>
  <si>
    <t>Batch attributes</t>
  </si>
  <si>
    <t>Defines characteristics for batches (e.g., Potency, Color, Age).
Rule: Attribute values must fall within the Minimum and Maximum range defined here.</t>
  </si>
  <si>
    <t>PdsBatchAttribGroup</t>
  </si>
  <si>
    <t>Batch attribute groups</t>
  </si>
  <si>
    <t>A collection of batch characteristics (e.g., a "Chemical" group containing pH, Purity, and Color).</t>
  </si>
  <si>
    <t>Shipping carriers (FedEx, UPS, etc.) used in Transportation.
Rule: Verify the VendorAccount is linked so freight bills can be paid.</t>
  </si>
  <si>
    <t>Shipping carriers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</si>
</sst>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3" formatCode="_ * #,##0.00_ ;_ * \-#,##0.00_ ;_ * &quot;-&quot;??_ ;_ @_ "/>
    <numFmt numFmtId="176" formatCode="_(&quot;$&quot;* #,##0.00_);_(&quot;$&quot;* \(#,##0.00\);_(&quot;$&quot;* &quot;-&quot;??_);_(@_)"/>
    <numFmt numFmtId="177" formatCode="_(&quot;$&quot;* #,##0_);_(&quot;$&quot;* \(#,##0\);_(&quot;$&quot;* &quot;-&quot;_);_(@_)"/>
  </numFmts>
  <fonts count="23">
    <font>
      <sz val="11"/>
      <color theme="1"/>
      <name val="等线"/>
      <charset val="134"/>
      <scheme val="minor"/>
    </font>
    <font>
      <b/>
      <sz val="11"/>
      <color rgb="FF1F1F1F"/>
      <name val="Arial"/>
      <charset val="134"/>
    </font>
    <font>
      <sz val="11"/>
      <color rgb="FF1F1F1F"/>
      <name val="Arial"/>
      <charset val="134"/>
    </font>
    <font>
      <sz val="11"/>
      <color rgb="FF1F1F1F"/>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4">
    <fill>
      <patternFill patternType="none"/>
    </fill>
    <fill>
      <patternFill patternType="gray125"/>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3" borderId="3"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4" applyNumberFormat="0" applyFill="0" applyAlignment="0" applyProtection="0">
      <alignment vertical="center"/>
    </xf>
    <xf numFmtId="0" fontId="10" fillId="0" borderId="4" applyNumberFormat="0" applyFill="0" applyAlignment="0" applyProtection="0">
      <alignment vertical="center"/>
    </xf>
    <xf numFmtId="0" fontId="11" fillId="0" borderId="5" applyNumberFormat="0" applyFill="0" applyAlignment="0" applyProtection="0">
      <alignment vertical="center"/>
    </xf>
    <xf numFmtId="0" fontId="11" fillId="0" borderId="0" applyNumberFormat="0" applyFill="0" applyBorder="0" applyAlignment="0" applyProtection="0">
      <alignment vertical="center"/>
    </xf>
    <xf numFmtId="0" fontId="12" fillId="4" borderId="6" applyNumberFormat="0" applyAlignment="0" applyProtection="0">
      <alignment vertical="center"/>
    </xf>
    <xf numFmtId="0" fontId="13" fillId="5" borderId="7" applyNumberFormat="0" applyAlignment="0" applyProtection="0">
      <alignment vertical="center"/>
    </xf>
    <xf numFmtId="0" fontId="14" fillId="5" borderId="6" applyNumberFormat="0" applyAlignment="0" applyProtection="0">
      <alignment vertical="center"/>
    </xf>
    <xf numFmtId="0" fontId="15" fillId="6" borderId="8" applyNumberFormat="0" applyAlignment="0" applyProtection="0">
      <alignment vertical="center"/>
    </xf>
    <xf numFmtId="0" fontId="16" fillId="0" borderId="9" applyNumberFormat="0" applyFill="0" applyAlignment="0" applyProtection="0">
      <alignment vertical="center"/>
    </xf>
    <xf numFmtId="0" fontId="17" fillId="0" borderId="10" applyNumberFormat="0" applyFill="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2"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2" fillId="15" borderId="0" applyNumberFormat="0" applyBorder="0" applyAlignment="0" applyProtection="0">
      <alignment vertical="center"/>
    </xf>
    <xf numFmtId="0" fontId="22"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2" fillId="19" borderId="0" applyNumberFormat="0" applyBorder="0" applyAlignment="0" applyProtection="0">
      <alignment vertical="center"/>
    </xf>
    <xf numFmtId="0" fontId="22"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2" fillId="23" borderId="0" applyNumberFormat="0" applyBorder="0" applyAlignment="0" applyProtection="0">
      <alignment vertical="center"/>
    </xf>
    <xf numFmtId="0" fontId="22"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2" fillId="27" borderId="0" applyNumberFormat="0" applyBorder="0" applyAlignment="0" applyProtection="0">
      <alignment vertical="center"/>
    </xf>
    <xf numFmtId="0" fontId="22"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2" fillId="31" borderId="0" applyNumberFormat="0" applyBorder="0" applyAlignment="0" applyProtection="0">
      <alignment vertical="center"/>
    </xf>
    <xf numFmtId="0" fontId="22" fillId="32" borderId="0" applyNumberFormat="0" applyBorder="0" applyAlignment="0" applyProtection="0">
      <alignment vertical="center"/>
    </xf>
    <xf numFmtId="0" fontId="21" fillId="33" borderId="0" applyNumberFormat="0" applyBorder="0" applyAlignment="0" applyProtection="0">
      <alignment vertical="center"/>
    </xf>
  </cellStyleXfs>
  <cellXfs count="10">
    <xf numFmtId="0" fontId="0" fillId="0" borderId="0" xfId="0">
      <alignment vertical="center"/>
    </xf>
    <xf numFmtId="0" fontId="1" fillId="0" borderId="1" xfId="0" applyFont="1" applyBorder="1" applyAlignment="1">
      <alignment vertical="center" wrapText="1" readingOrder="1"/>
    </xf>
    <xf numFmtId="0" fontId="1" fillId="0" borderId="2" xfId="0" applyFont="1" applyFill="1" applyBorder="1" applyAlignment="1">
      <alignment vertical="center" wrapText="1" readingOrder="1"/>
    </xf>
    <xf numFmtId="0" fontId="2" fillId="0" borderId="1" xfId="0" applyFont="1" applyBorder="1" applyAlignment="1">
      <alignment vertical="center" wrapText="1" readingOrder="1"/>
    </xf>
    <xf numFmtId="0" fontId="2" fillId="0" borderId="1" xfId="0" applyFont="1" applyFill="1" applyBorder="1" applyAlignment="1">
      <alignment vertical="center" wrapText="1" readingOrder="1"/>
    </xf>
    <xf numFmtId="0" fontId="0" fillId="0" borderId="0" xfId="0" applyFont="1" applyFill="1" applyAlignment="1">
      <alignment vertical="center"/>
    </xf>
    <xf numFmtId="0" fontId="3" fillId="0" borderId="1" xfId="0" applyFont="1" applyBorder="1" applyAlignment="1">
      <alignment vertical="center" wrapText="1" readingOrder="1"/>
    </xf>
    <xf numFmtId="0" fontId="3" fillId="2" borderId="1" xfId="0" applyFont="1" applyFill="1" applyBorder="1" applyAlignment="1">
      <alignment vertical="center" wrapText="1" readingOrder="1"/>
    </xf>
    <xf numFmtId="0" fontId="3" fillId="0" borderId="1" xfId="0" applyFont="1" applyFill="1" applyBorder="1" applyAlignment="1">
      <alignment vertical="center" wrapText="1" readingOrder="1"/>
    </xf>
    <xf numFmtId="0" fontId="3" fillId="0" borderId="2" xfId="0" applyFont="1" applyFill="1" applyBorder="1" applyAlignment="1">
      <alignment vertical="center" wrapText="1" readingOrder="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customXml" Target="../customXml/item3.xml"/><Relationship Id="rId3" Type="http://schemas.openxmlformats.org/officeDocument/2006/relationships/customXml" Target="../customXml/item2.xml"/><Relationship Id="rId2" Type="http://schemas.openxmlformats.org/officeDocument/2006/relationships/customXml" Target="../customXml/item1.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Teams\Data%20Agent%20knowledge%20base.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KnowledgeBase"/>
    </sheetNames>
    <sheetDataSet>
      <sheetData sheetId="0">
        <row r="1">
          <cell r="B1" t="str">
            <v>TableName</v>
          </cell>
          <cell r="C1" t="str">
            <v>Label</v>
          </cell>
          <cell r="D1" t="str">
            <v>Table Level Explanation</v>
          </cell>
        </row>
        <row r="2">
          <cell r="B2" t="str">
            <v>AssetBook</v>
          </cell>
          <cell r="C2" t="str">
            <v>Fixed asset book</v>
          </cell>
          <cell r="D2" t="str">
            <v>Defines the depreciation method and life of an asset.</v>
          </cell>
        </row>
        <row r="3">
          <cell r="B3" t="str">
            <v>AssetGroup</v>
          </cell>
          <cell r="C3" t="str">
            <v>Fixed asset groups</v>
          </cell>
          <cell r="D3" t="str">
            <v>Categorizes assets for GL posting.</v>
          </cell>
        </row>
        <row r="4">
          <cell r="B4" t="str">
            <v>AssetTable</v>
          </cell>
          <cell r="C4" t="str">
            <v>Fixed assets</v>
          </cell>
          <cell r="D4" t="str">
            <v>Master list of assets (Vehicles, Buildings, Laptops).</v>
          </cell>
        </row>
        <row r="5">
          <cell r="B5" t="str">
            <v>AssetTrans</v>
          </cell>
          <cell r="C5" t="str">
            <v>Fixed asset transactions</v>
          </cell>
          <cell r="D5" t="str">
            <v>Acquisitions, Depreciation, and Disposals.</v>
          </cell>
        </row>
        <row r="6">
          <cell r="B6" t="str">
            <v>BankAccountTable</v>
          </cell>
          <cell r="C6" t="str">
            <v>Bank accounts</v>
          </cell>
          <cell r="D6" t="str">
            <v>The company's own bank accounts used for reconciliation.</v>
          </cell>
        </row>
        <row r="7">
          <cell r="B7" t="str">
            <v>BankAccountTrans</v>
          </cell>
          <cell r="C7" t="str">
            <v>Bank transactions</v>
          </cell>
          <cell r="D7" t="str">
            <v>The ledger of every "hit" to the company's bank account.</v>
          </cell>
        </row>
        <row r="8">
          <cell r="B8" t="str">
            <v>BOM</v>
          </cell>
          <cell r="C8" t="str">
            <v>BOM lines</v>
          </cell>
          <cell r="D8" t="str">
            <v>Components/Ingredients within a recipe.</v>
          </cell>
        </row>
        <row r="9">
          <cell r="B9" t="str">
            <v>BOMTable</v>
          </cell>
          <cell r="C9" t="str">
            <v>Bills of materials</v>
          </cell>
          <cell r="D9" t="str">
            <v>The "Recipe" for a manufactured item.</v>
          </cell>
        </row>
        <row r="10">
          <cell r="B10" t="str">
            <v>BOMVersion</v>
          </cell>
          <cell r="C10" t="str">
            <v>BOM versions</v>
          </cell>
          <cell r="D10" t="str">
            <v>Links a BOM recipe to a specific item and date range.</v>
          </cell>
        </row>
        <row r="11">
          <cell r="B11" t="str">
            <v>CompanyInfo</v>
          </cell>
          <cell r="C11" t="str">
            <v>Legal entities</v>
          </cell>
          <cell r="D11" t="str">
            <v>Metadata for each company/legal entity in the system.</v>
          </cell>
        </row>
        <row r="12">
          <cell r="B12" t="str">
            <v>Currency</v>
          </cell>
          <cell r="C12" t="str">
            <v>Currency table</v>
          </cell>
          <cell r="D12" t="str">
            <v>Master list of ISO currency codes (USD, EUR).</v>
          </cell>
        </row>
        <row r="13">
          <cell r="B13" t="str">
            <v>CustBankAccount</v>
          </cell>
          <cell r="C13" t="str">
            <v>Customer bank accounts</v>
          </cell>
          <cell r="D13" t="str">
            <v>Banking details for customer refunds or direct debits.</v>
          </cell>
        </row>
        <row r="14">
          <cell r="B14" t="str">
            <v>CustCollectionsContact</v>
          </cell>
          <cell r="C14" t="str">
            <v>Customer collections contact person</v>
          </cell>
          <cell r="D14" t="str">
            <v>Specific person at the customer company responsible for AP.</v>
          </cell>
        </row>
        <row r="15">
          <cell r="B15" t="str">
            <v>CustGroup</v>
          </cell>
          <cell r="C15" t="str">
            <v>Customer groups</v>
          </cell>
          <cell r="D15" t="str">
            <v>Categorizes customers for posting and reporting.</v>
          </cell>
        </row>
        <row r="16">
          <cell r="B16" t="str">
            <v>CustInvoiceJour</v>
          </cell>
          <cell r="C16" t="str">
            <v>Customer invoice journal</v>
          </cell>
          <cell r="D16" t="str">
            <v>Posted invoice history.</v>
          </cell>
        </row>
        <row r="17">
          <cell r="B17" t="str">
            <v>CustInvoiceTrans</v>
          </cell>
          <cell r="C17" t="str">
            <v>Customer invoice lines</v>
          </cell>
          <cell r="D17" t="str">
            <v>Detailed lines of posted invoices.
1. For "Actual Sales," the agent should ignore SalesLine and query CustInvoiceTrans. SalesLine includes deleted, cancelled, or quoted orders; CustInvoiceTrans only contains what was actually billed.</v>
          </cell>
        </row>
        <row r="18">
          <cell r="B18" t="str">
            <v>CustPackingSlipJour</v>
          </cell>
          <cell r="C18" t="str">
            <v>Customer packing slips</v>
          </cell>
          <cell r="D18" t="str">
            <v>Records of goods shipped to customers.</v>
          </cell>
        </row>
        <row r="19">
          <cell r="B19" t="str">
            <v>CustPackingSlipTrans</v>
          </cell>
          <cell r="C19" t="str">
            <v>Customer - packing slip lines</v>
          </cell>
          <cell r="D19" t="str">
            <v>Specific items shipped.</v>
          </cell>
        </row>
        <row r="20">
          <cell r="B20" t="str">
            <v>CustPaymModeTable</v>
          </cell>
          <cell r="C20" t="str">
            <v>Methods of payment - customers</v>
          </cell>
          <cell r="D20" t="str">
            <v>Terms like Check, Wire, or Credit Card.</v>
          </cell>
        </row>
        <row r="21">
          <cell r="B21" t="str">
            <v>CustSettlement</v>
          </cell>
          <cell r="C21" t="str">
            <v>Customer settlement</v>
          </cell>
          <cell r="D21" t="str">
            <v>Links a payment to the invoice it paid off.</v>
          </cell>
        </row>
        <row r="22">
          <cell r="B22" t="str">
            <v>CustTable</v>
          </cell>
          <cell r="C22" t="str">
            <v>Customers</v>
          </cell>
          <cell r="D22" t="str">
            <v>Master record of customers</v>
          </cell>
        </row>
        <row r="23">
          <cell r="B23" t="str">
            <v>CustTrans</v>
          </cell>
          <cell r="C23" t="str">
            <v>Customer transactions</v>
          </cell>
          <cell r="D23" t="str">
            <v>Open and closed customer invoices and payments.</v>
          </cell>
        </row>
        <row r="24">
          <cell r="B24" t="str">
            <v>CustTransOpen</v>
          </cell>
          <cell r="C24" t="str">
            <v>Open customer transactions</v>
          </cell>
          <cell r="D24" t="str">
            <v>Specifically for unpaid customer invoices (Aging).</v>
          </cell>
        </row>
        <row r="25">
          <cell r="B25" t="str">
            <v>DimensionAttribute</v>
          </cell>
          <cell r="C25" t="str">
            <v>Dimension</v>
          </cell>
          <cell r="D25" t="str">
            <v>Defines what dimensions exist (Department, Project, etc.).</v>
          </cell>
        </row>
        <row r="26">
          <cell r="B26" t="str">
            <v>DimensionAttributeValue</v>
          </cell>
          <cell r="C26" t="str">
            <v>Dimension code</v>
          </cell>
          <cell r="D26" t="str">
            <v>Specific values (e.g., Dept "100" or Cost Center "Marketing").</v>
          </cell>
        </row>
        <row r="27">
          <cell r="B27" t="str">
            <v>DimensionAttributeValueSet</v>
          </cell>
          <cell r="C27" t="str">
            <v>Dimension code set</v>
          </cell>
          <cell r="D27" t="str">
            <v>A unique combination of dimensions used on a transaction.</v>
          </cell>
        </row>
        <row r="28">
          <cell r="B28" t="str">
            <v>DirOrganization</v>
          </cell>
          <cell r="C28" t="str">
            <v>Organizations</v>
          </cell>
          <cell r="D28" t="str">
            <v>Sub-type of DirPartyTable specifically for entities.</v>
          </cell>
        </row>
        <row r="29">
          <cell r="B29" t="str">
            <v>DirPartyLocation</v>
          </cell>
          <cell r="C29" t="str">
            <v>Party location relationships</v>
          </cell>
          <cell r="D29" t="str">
            <v>Links a party to specific locations (like Headquarters or Branch).</v>
          </cell>
        </row>
        <row r="30">
          <cell r="B30" t="str">
            <v>DirPartyTable</v>
          </cell>
          <cell r="C30" t="str">
            <v>Global address book</v>
          </cell>
          <cell r="D30" t="str">
            <v>Central registry for all people and organizations.</v>
          </cell>
        </row>
        <row r="31">
          <cell r="B31" t="str">
            <v>DirPerson</v>
          </cell>
          <cell r="C31" t="str">
            <v>People</v>
          </cell>
          <cell r="D31" t="str">
            <v>Sub-type of DirPartyTable for individual human beings.</v>
          </cell>
        </row>
        <row r="32">
          <cell r="B32" t="str">
            <v>DirPersonName</v>
          </cell>
          <cell r="C32" t="str">
            <v>Person name</v>
          </cell>
          <cell r="D32" t="str">
            <v>Historical tracking of name changes for individuals.</v>
          </cell>
        </row>
        <row r="33">
          <cell r="B33" t="str">
            <v>EcoResProduct</v>
          </cell>
          <cell r="C33" t="str">
            <v>Products</v>
          </cell>
          <cell r="D33" t="str">
            <v>Global product definition across all entities.</v>
          </cell>
        </row>
        <row r="34">
          <cell r="B34" t="str">
            <v>ExchangeRate</v>
          </cell>
          <cell r="C34" t="str">
            <v>Exchange rate</v>
          </cell>
          <cell r="D34" t="str">
            <v>Currency conversion rates by date.</v>
          </cell>
        </row>
        <row r="35">
          <cell r="B35" t="str">
            <v>FiscalCalendar</v>
          </cell>
          <cell r="C35" t="str">
            <v>Fiscal calendar</v>
          </cell>
          <cell r="D35" t="str">
            <v>Defines years and periods (Months/Quarters).</v>
          </cell>
        </row>
        <row r="36">
          <cell r="B36" t="str">
            <v>FiscalCalendarPeriod</v>
          </cell>
          <cell r="C36" t="str">
            <v>Fiscal calendar period</v>
          </cell>
          <cell r="D36" t="str">
            <v>Specific start/end dates for fiscal periods.</v>
          </cell>
        </row>
        <row r="37">
          <cell r="B37" t="str">
            <v>GeneralJournalAccountEntry</v>
          </cell>
          <cell r="C37" t="str">
            <v>General journal account entry</v>
          </cell>
          <cell r="D37" t="str">
            <v>The most important table for P&amp;L and Balance Sheet data.</v>
          </cell>
        </row>
        <row r="38">
          <cell r="B38" t="str">
            <v>GeneralJournalEntry</v>
          </cell>
          <cell r="C38" t="str">
            <v>General journal entry</v>
          </cell>
          <cell r="D38" t="str">
            <v>The header for every posted transaction in the General Ledger.</v>
          </cell>
        </row>
        <row r="39">
          <cell r="B39" t="str">
            <v>InterCompanyTradingRelation</v>
          </cell>
          <cell r="C39" t="str">
            <v>Trading relationship</v>
          </cell>
          <cell r="D39" t="str">
            <v>Defines the "Mirror" relationship between two legal entities.</v>
          </cell>
        </row>
        <row r="40">
          <cell r="B40" t="str">
            <v>InventBatch</v>
          </cell>
          <cell r="C40" t="str">
            <v>Batches</v>
          </cell>
          <cell r="D40" t="str">
            <v>Tracking items by batch/lot number.</v>
          </cell>
        </row>
        <row r="41">
          <cell r="B41" t="str">
            <v>InventBuyerGroup</v>
          </cell>
          <cell r="C41" t="str">
            <v>Buyer groups</v>
          </cell>
          <cell r="D41" t="str">
            <v>Groups items so they appear in specific procurement filters.</v>
          </cell>
        </row>
        <row r="42">
          <cell r="B42" t="str">
            <v>InventDim</v>
          </cell>
          <cell r="C42" t="str">
            <v>Inventory dimensions</v>
          </cell>
          <cell r="D42" t="str">
            <v>Combination of Site, Warehouse, Batch, and Serial.
Rules:
1. This table is linked to almost every transaction (SalesLine, PurchLine, InventTrans, etc.) via the InventDimId.
2. If the InventTable has a Tracking Dimension Group set to "Serial Number: Active," the SalesLine or PurchLine cannot be posted unless the InventDimId points to a record in the InventDim table that contains a Serial Number.</v>
          </cell>
        </row>
        <row r="43">
          <cell r="B43" t="str">
            <v>InventDimCombination</v>
          </cell>
          <cell r="C43" t="str">
            <v>Released product variants</v>
          </cell>
          <cell r="D43" t="str">
            <v>The unique ID for a "Red, Large, Cotton" version of a shirt.</v>
          </cell>
        </row>
        <row r="44">
          <cell r="B44" t="str">
            <v>InventItemGroup</v>
          </cell>
          <cell r="C44" t="str">
            <v>Item groups</v>
          </cell>
          <cell r="D44" t="str">
            <v>Controls inventory posting to the General Ledger.</v>
          </cell>
        </row>
        <row r="45">
          <cell r="B45" t="str">
            <v>InventItemGroupItem</v>
          </cell>
          <cell r="C45" t="str">
            <v>Relationship between items and item groups</v>
          </cell>
          <cell r="D45" t="str">
            <v>Links an item to its financial posting group (COGS/Revenue).</v>
          </cell>
        </row>
        <row r="46">
          <cell r="B46" t="str">
            <v>InventItemLocation</v>
          </cell>
          <cell r="C46" t="str">
            <v>Warehouse items</v>
          </cell>
          <cell r="D46" t="str">
            <v>Default picking/packing locations for a specific item.</v>
          </cell>
        </row>
        <row r="47">
          <cell r="B47" t="str">
            <v>InventItemPrice</v>
          </cell>
          <cell r="C47" t="str">
            <v>Price</v>
          </cell>
          <cell r="D47" t="str">
            <v>Standard or planned costs for items.</v>
          </cell>
        </row>
        <row r="48">
          <cell r="B48" t="str">
            <v>InventJournalTable</v>
          </cell>
          <cell r="C48" t="str">
            <v>Inventory journal table</v>
          </cell>
          <cell r="D48" t="str">
            <v>Header for stock counts, transfers, or adjustments.</v>
          </cell>
        </row>
        <row r="49">
          <cell r="B49" t="str">
            <v>InventJournalTrans</v>
          </cell>
          <cell r="C49" t="str">
            <v>Inventory journal lines</v>
          </cell>
          <cell r="D49" t="str">
            <v>Lines for stock movements or adjustments.</v>
          </cell>
        </row>
        <row r="50">
          <cell r="B50" t="str">
            <v>InventLocation</v>
          </cell>
          <cell r="C50" t="str">
            <v>Warehouses</v>
          </cell>
          <cell r="D50" t="str">
            <v>Master list of warehouses.</v>
          </cell>
        </row>
        <row r="51">
          <cell r="B51" t="str">
            <v>InventModelGroup</v>
          </cell>
          <cell r="C51" t="str">
            <v>Item model groups</v>
          </cell>
          <cell r="D51" t="str">
            <v>Defines FIFO, LIFO, or Standard Costing logic.</v>
          </cell>
        </row>
        <row r="52">
          <cell r="B52" t="str">
            <v>InventPosting</v>
          </cell>
          <cell r="C52" t="str">
            <v>Item, ledger posting</v>
          </cell>
          <cell r="D52" t="str">
            <v>The master map of "Item Group + Event" to "GL Account', this is where the money goes.
Rules:
1. When an invoice is posted in CustInvoiceJour, the system looks at the Item Group (from InventTable) and the Customer Group (from CustTable) to find the correct MainAccount in the InventPosting table. Same for vendtable.</v>
          </cell>
        </row>
        <row r="53">
          <cell r="B53" t="str">
            <v>InventQuarantineOrder</v>
          </cell>
          <cell r="C53" t="str">
            <v>Quarantine order</v>
          </cell>
          <cell r="D53" t="str">
            <v>Tracks items held for quality inspection before they can be sold.</v>
          </cell>
        </row>
        <row r="54">
          <cell r="B54" t="str">
            <v>InventSerial</v>
          </cell>
          <cell r="C54" t="str">
            <v>Serial numbers</v>
          </cell>
          <cell r="D54" t="str">
            <v>Tracking unique items by serial number.</v>
          </cell>
        </row>
        <row r="55">
          <cell r="B55" t="str">
            <v>InventSite</v>
          </cell>
          <cell r="C55" t="str">
            <v>Site</v>
          </cell>
          <cell r="D55" t="str">
            <v>Physical or logical sites for inventory grouping.</v>
          </cell>
        </row>
        <row r="56">
          <cell r="B56" t="str">
            <v>InventSum</v>
          </cell>
          <cell r="C56" t="str">
            <v>On-hand inventory</v>
          </cell>
          <cell r="D56" t="str">
            <v>Current stock levels by warehouse and dimension.</v>
          </cell>
        </row>
        <row r="57">
          <cell r="B57" t="str">
            <v>InventTable</v>
          </cell>
          <cell r="C57" t="str">
            <v>Items</v>
          </cell>
          <cell r="D57" t="str">
            <v>The "Released Product" record for a legal entity.</v>
          </cell>
        </row>
        <row r="58">
          <cell r="B58" t="str">
            <v>InventTableModule</v>
          </cell>
          <cell r="C58" t="str">
            <v>Inventory module parameters</v>
          </cell>
          <cell r="D58" t="str">
            <v>Sales, Purchase, and Inventory unit/price settings.</v>
          </cell>
        </row>
        <row r="59">
          <cell r="B59" t="str">
            <v>InventTestGroup</v>
          </cell>
          <cell r="C59" t="str">
            <v>Test groups</v>
          </cell>
          <cell r="D59" t="str">
            <v>Defines which tests are required for a specific item or vendor.</v>
          </cell>
        </row>
        <row r="60">
          <cell r="B60" t="str">
            <v>InventTestTable</v>
          </cell>
          <cell r="C60" t="str">
            <v>Tests</v>
          </cell>
          <cell r="D60" t="str">
            <v>Record of specific tests performed on items (e.g., pH balance, weight).</v>
          </cell>
        </row>
        <row r="61">
          <cell r="B61" t="str">
            <v>InventTestVariable</v>
          </cell>
          <cell r="C61" t="str">
            <v>Test variables</v>
          </cell>
          <cell r="D61" t="str">
            <v>Stores the "Pass/Fail" or numeric results of a quality test.</v>
          </cell>
        </row>
        <row r="62">
          <cell r="B62" t="str">
            <v>InventTrans</v>
          </cell>
          <cell r="C62" t="str">
            <v>Inventory transactions</v>
          </cell>
          <cell r="D62" t="str">
            <v>The "Ledger" of inventory. Tracks every movement.
1. A transaction cannot skip a status (e.g., you cannot go from Ordered to Purchased without the system passing through Received in the background).
2. Compare SalesLine.ShippingDateConfirmed (The Promise) against InventTrans.DatePhysical (The Reality). If the reality is later than the promised date, the record is "Late".
3. InventTransId is the unique DNA for that specific line's journey from order to payment. Never join tables using ItemId alone when transactional accuracy is required. Use InventTransId (the Lot ID) to link Purchase Orders (PurchLine), Product Receipts (VendPurchReceiptLine), and Invoices (PurchInvoiceLine).</v>
          </cell>
        </row>
        <row r="63">
          <cell r="B63" t="str">
            <v>InventTransOrigin</v>
          </cell>
          <cell r="C63" t="str">
            <v>Inventory transactions originator</v>
          </cell>
          <cell r="D63" t="str">
            <v>Links inventory movements back to the source (Sales/Purch).</v>
          </cell>
        </row>
        <row r="64">
          <cell r="B64" t="str">
            <v>Ledger</v>
          </cell>
          <cell r="C64" t="str">
            <v>Ledger</v>
          </cell>
          <cell r="D64" t="str">
            <v>Defines the Chart of Accounts and Fiscal Calendar for a company.</v>
          </cell>
        </row>
        <row r="65">
          <cell r="B65" t="str">
            <v>LedgerChartOfAccounts</v>
          </cell>
          <cell r="C65" t="str">
            <v>Chart of accounts</v>
          </cell>
          <cell r="D65" t="str">
            <v>Defines the grouping of main accounts.</v>
          </cell>
        </row>
        <row r="66">
          <cell r="B66" t="str">
            <v>LedgerJournalTable</v>
          </cell>
          <cell r="C66" t="str">
            <v>Ledger journal table</v>
          </cell>
          <cell r="D66" t="str">
            <v>Holds unposted journals (Daily, Bank, Accrual).</v>
          </cell>
        </row>
        <row r="67">
          <cell r="B67" t="str">
            <v>LedgerJournalTrans</v>
          </cell>
          <cell r="C67" t="str">
            <v>Journal lines</v>
          </cell>
          <cell r="D67" t="str">
            <v>Detailed lines for unposted journals.</v>
          </cell>
        </row>
        <row r="68">
          <cell r="B68" t="str">
            <v>LedgerJournalTrans_Asset</v>
          </cell>
          <cell r="C68" t="str">
            <v>Asset journal lines</v>
          </cell>
          <cell r="D68" t="str">
            <v>Financial lines for buying or selling an asset via a journal.</v>
          </cell>
        </row>
        <row r="69">
          <cell r="B69" t="str">
            <v>LogisticsAddressCity</v>
          </cell>
          <cell r="C69" t="str">
            <v>Cities</v>
          </cell>
          <cell r="D69" t="str">
            <v>Master list of cities for address validation.</v>
          </cell>
        </row>
        <row r="70">
          <cell r="B70" t="str">
            <v>LogisticsAddressCountryRegion</v>
          </cell>
          <cell r="C70" t="str">
            <v>Country/region</v>
          </cell>
          <cell r="D70" t="str">
            <v>Global list of country codes and formats.</v>
          </cell>
        </row>
        <row r="71">
          <cell r="B71" t="str">
            <v>LogisticsAddressState</v>
          </cell>
          <cell r="C71" t="str">
            <v>States</v>
          </cell>
          <cell r="D71" t="str">
            <v>State/Province codes linked to countries.</v>
          </cell>
        </row>
        <row r="72">
          <cell r="B72" t="str">
            <v>LogisticsElectronicAddress</v>
          </cell>
          <cell r="C72" t="str">
            <v>Communication details</v>
          </cell>
          <cell r="D72" t="str">
            <v>Emails, phone numbers, and URLs for parties.</v>
          </cell>
        </row>
        <row r="73">
          <cell r="B73" t="str">
            <v>LogisticsLocation</v>
          </cell>
          <cell r="C73" t="str">
            <v>Locations</v>
          </cell>
          <cell r="D73" t="str">
            <v>Stores the actual location ID and description.</v>
          </cell>
        </row>
        <row r="74">
          <cell r="B74" t="str">
            <v>LogisticsPostalAddress</v>
          </cell>
          <cell r="C74" t="str">
            <v>Addresses</v>
          </cell>
          <cell r="D74" t="str">
            <v>Detailed street addresses, zip codes, and countries.</v>
          </cell>
        </row>
        <row r="75">
          <cell r="B75" t="str">
            <v>MainAccount</v>
          </cell>
          <cell r="C75" t="str">
            <v>Main account</v>
          </cell>
          <cell r="D75" t="str">
            <v>The Chart of Accounts (Cash, Revenue, Expense accounts).</v>
          </cell>
        </row>
        <row r="76">
          <cell r="B76" t="str">
            <v>OMHierarchyType</v>
          </cell>
          <cell r="C76" t="str">
            <v>Hierarchy</v>
          </cell>
          <cell r="D76" t="str">
            <v>Defines types of organizational structures.</v>
          </cell>
        </row>
        <row r="77">
          <cell r="B77" t="str">
            <v>OMOperatingUnit</v>
          </cell>
          <cell r="C77" t="str">
            <v>Operating unit</v>
          </cell>
          <cell r="D77" t="str">
            <v>Stores Departments, Cost Centers, and Business Units.</v>
          </cell>
        </row>
        <row r="78">
          <cell r="B78" t="str">
            <v>PriceDiscTable</v>
          </cell>
          <cell r="C78" t="str">
            <v>Price agreements</v>
          </cell>
          <cell r="D78" t="str">
            <v>Specific sales/purchase prices and discounts.</v>
          </cell>
        </row>
        <row r="79">
          <cell r="B79" t="str">
            <v>ProdCalcTrans</v>
          </cell>
          <cell r="C79" t="str">
            <v>Calculation</v>
          </cell>
          <cell r="D79" t="str">
            <v>Detailed breakdown of estimated vs actual costs.</v>
          </cell>
        </row>
        <row r="80">
          <cell r="B80" t="str">
            <v>ProdGroup</v>
          </cell>
          <cell r="C80" t="str">
            <v>Production groups</v>
          </cell>
          <cell r="D80" t="str">
            <v>Used for financial posting of WIP and variance.</v>
          </cell>
        </row>
        <row r="81">
          <cell r="B81" t="str">
            <v>ProdJournalBOM</v>
          </cell>
          <cell r="C81" t="str">
            <v>BOM journal transactions</v>
          </cell>
          <cell r="D81" t="str">
            <v>Records raw material consumption.</v>
          </cell>
        </row>
        <row r="82">
          <cell r="B82" t="str">
            <v>ProdJournalProd</v>
          </cell>
          <cell r="C82" t="str">
            <v>Production journal transactions</v>
          </cell>
          <cell r="D82" t="str">
            <v>Records completed finished goods.</v>
          </cell>
        </row>
        <row r="83">
          <cell r="B83" t="str">
            <v>ProdJournalRoute</v>
          </cell>
          <cell r="C83" t="str">
            <v>Routing journal transactions</v>
          </cell>
          <cell r="D83" t="str">
            <v>The "time card" for a machine or worker on the shop floor.</v>
          </cell>
        </row>
        <row r="84">
          <cell r="B84" t="str">
            <v>ProdJournalTable</v>
          </cell>
          <cell r="C84" t="str">
            <v>Production journal table</v>
          </cell>
          <cell r="D84" t="str">
            <v>Headers for Picking Lists, Route Cards, and Jobs.</v>
          </cell>
        </row>
        <row r="85">
          <cell r="B85" t="str">
            <v>ProdPool</v>
          </cell>
          <cell r="C85" t="str">
            <v>Production pools</v>
          </cell>
          <cell r="D85" t="str">
            <v>Groups orders for scheduling or reporting.</v>
          </cell>
        </row>
        <row r="86">
          <cell r="B86" t="str">
            <v>ProdRoute</v>
          </cell>
          <cell r="C86" t="str">
            <v>Production route</v>
          </cell>
          <cell r="D86" t="str">
            <v>The steps (Operations) required to build the item.</v>
          </cell>
        </row>
        <row r="87">
          <cell r="B87" t="str">
            <v>ProdRouteTrans</v>
          </cell>
          <cell r="C87" t="str">
            <v>Route transactions</v>
          </cell>
          <cell r="D87" t="str">
            <v>Detailed labor and machine time posted to a production order.</v>
          </cell>
        </row>
        <row r="88">
          <cell r="B88" t="str">
            <v>ProdTable</v>
          </cell>
          <cell r="C88" t="str">
            <v>Production orders</v>
          </cell>
          <cell r="D88" t="str">
            <v>Header for a manufacturing job.</v>
          </cell>
        </row>
        <row r="89">
          <cell r="B89" t="str">
            <v>ProjCategory</v>
          </cell>
          <cell r="C89" t="str">
            <v>Project category</v>
          </cell>
          <cell r="D89" t="str">
            <v>Identifies the type of work (Labor, Travel, Hardware).</v>
          </cell>
        </row>
        <row r="90">
          <cell r="B90" t="str">
            <v>ProjCostTrans</v>
          </cell>
          <cell r="C90" t="str">
            <v>Project expense transactions</v>
          </cell>
          <cell r="D90" t="str">
            <v>Travel and other costs billed to projects.</v>
          </cell>
        </row>
        <row r="91">
          <cell r="B91" t="str">
            <v>ProjEmplTrans</v>
          </cell>
          <cell r="C91" t="str">
            <v>Project hour transactions</v>
          </cell>
          <cell r="D91" t="str">
            <v>Time logged by employees against projects.</v>
          </cell>
        </row>
        <row r="92">
          <cell r="B92" t="str">
            <v>ProjGroup</v>
          </cell>
          <cell r="C92" t="str">
            <v>Project groups</v>
          </cell>
          <cell r="D92" t="str">
            <v>Defines the accounting rules for project types.</v>
          </cell>
        </row>
        <row r="93">
          <cell r="B93" t="str">
            <v>ProjInvoiceTable</v>
          </cell>
          <cell r="C93" t="str">
            <v>Project contracts</v>
          </cell>
          <cell r="D93" t="str">
            <v>Header for customer-facing project billing.</v>
          </cell>
        </row>
        <row r="94">
          <cell r="B94" t="str">
            <v>ProjItemTrans</v>
          </cell>
          <cell r="C94" t="str">
            <v>Project item transactions</v>
          </cell>
          <cell r="D94" t="str">
            <v>Goods consumed or sold on a project.</v>
          </cell>
        </row>
        <row r="95">
          <cell r="B95" t="str">
            <v>ProjRevenueTrans</v>
          </cell>
          <cell r="C95" t="str">
            <v>Project fee transactions</v>
          </cell>
          <cell r="D95" t="str">
            <v>Income recognized on a project.</v>
          </cell>
        </row>
        <row r="96">
          <cell r="B96" t="str">
            <v>ProjTable</v>
          </cell>
          <cell r="C96" t="str">
            <v>Projects</v>
          </cell>
          <cell r="D96" t="str">
            <v>The master record for a project/contract.</v>
          </cell>
        </row>
        <row r="97">
          <cell r="B97" t="str">
            <v>ProjTransPosting</v>
          </cell>
          <cell r="C97" t="str">
            <v>Ledger updates</v>
          </cell>
          <cell r="D97" t="str">
            <v>Financial link between project and GL.</v>
          </cell>
        </row>
        <row r="98">
          <cell r="B98" t="str">
            <v>PurchAgreementHeader</v>
          </cell>
          <cell r="C98" t="str">
            <v>Purchase agreement</v>
          </cell>
          <cell r="D98" t="str">
            <v>Long-term contracts with vendors (Price/Volume).</v>
          </cell>
        </row>
        <row r="99">
          <cell r="B99" t="str">
            <v>PurchLine</v>
          </cell>
          <cell r="C99" t="str">
            <v>Purchase order lines</v>
          </cell>
          <cell r="D99" t="str">
            <v>Items, quantities, and agreed purchase prices.
Rules:
1. The "Lead Time" Rule: If the user asks about "Vendor Lead Time," the agent needs to compare PurchTable.CreatedDateTime against the first receipt date found in inventory transactions linked to that PurchLine.
2. The "Price Variance" Rule: To find price discrepancies, the agent must compare PurchLine.PurchPrice (the agreed price) against VendInvoiceTrans.PurchPrice (the actually invoiced price)
3. Purchase warehouse: Every transaction table has an InventDimId. This ID maps to the InventDim table, which holds the Site (InventSiteId), Warehouse (InventLocationId), and Batch (inventBatchId).</v>
          </cell>
        </row>
        <row r="100">
          <cell r="B100" t="str">
            <v>PurchLineHistory</v>
          </cell>
          <cell r="C100" t="str">
            <v>Purchase lines history</v>
          </cell>
          <cell r="D100" t="str">
            <v>Changes to individual purchase lines.</v>
          </cell>
        </row>
        <row r="101">
          <cell r="B101" t="str">
            <v>PurchParameters</v>
          </cell>
          <cell r="C101" t="str">
            <v>Purchase parameters</v>
          </cell>
          <cell r="D101" t="str">
            <v>System settings for procurement.</v>
          </cell>
        </row>
        <row r="102">
          <cell r="B102" t="str">
            <v>PurchReqLine</v>
          </cell>
          <cell r="C102" t="str">
            <v>Purchase requisition lines</v>
          </cell>
          <cell r="D102" t="str">
            <v>Items requested for purchase.</v>
          </cell>
        </row>
        <row r="103">
          <cell r="B103" t="str">
            <v>PurchReqTable</v>
          </cell>
          <cell r="C103" t="str">
            <v>Purchase requisitions</v>
          </cell>
          <cell r="D103" t="str">
            <v>Internal requests to buy something.</v>
          </cell>
        </row>
        <row r="104">
          <cell r="B104" t="str">
            <v>PurchRFQTable</v>
          </cell>
          <cell r="C104" t="str">
            <v>Requests for quotations</v>
          </cell>
          <cell r="D104" t="str">
            <v>Requests for Quotation sent to vendors.</v>
          </cell>
        </row>
        <row r="105">
          <cell r="B105" t="str">
            <v>PurchTable</v>
          </cell>
          <cell r="C105" t="str">
            <v>Purchase orders</v>
          </cell>
          <cell r="D105" t="str">
            <v>Buying goods/services from vendors.
Rules:
1. The "Three-way matching" The system compares three values across tables: Price on PurchLine (The Agreement) and Product Receipt on VendPackingSlipTrans (The Quantity received) and Invoice on VendInvoiceInfoLine (The Quantity and Price billed). If VendInvoiceInfoTable.LogisticsLocationId or price tolerances are exceeded, the system sets a Matching Status flag. An agent should look for lines where MatchingAgreement = No to find data issues. Matching policy hierarchy: Company Level: Defined in AP Parameters &gt; Item/Vendor Level: Defined in the matching policy override tables &gt; Transaction Level: The specific policy assigned to the PO.
2. The "Lead Time" Rule: If the user asks about "Vendor Lead Time," the agent needs to compare PurchTable.CreatedDateTime against the first receipt date found in inventory transactions linked to that PurchLine.</v>
          </cell>
        </row>
        <row r="106">
          <cell r="B106" t="str">
            <v>PurchTableHistory</v>
          </cell>
          <cell r="C106" t="str">
            <v>Purchase order history</v>
          </cell>
          <cell r="D106" t="str">
            <v>Audit trail for purchase order modifications.</v>
          </cell>
        </row>
        <row r="107">
          <cell r="B107" t="str">
            <v>ReqPO</v>
          </cell>
          <cell r="C107" t="str">
            <v>Planned order</v>
          </cell>
          <cell r="D107" t="str">
            <v>Orders suggested by Master Planning (MRP).</v>
          </cell>
        </row>
        <row r="108">
          <cell r="B108" t="str">
            <v>ReqTrans</v>
          </cell>
          <cell r="C108" t="str">
            <v>Net requirements</v>
          </cell>
          <cell r="D108" t="str">
            <v>MRP logic tracking supply and demand.</v>
          </cell>
        </row>
        <row r="109">
          <cell r="B109" t="str">
            <v>RetailStaffTable</v>
          </cell>
          <cell r="C109" t="str">
            <v>Staff</v>
          </cell>
          <cell r="D109" t="str">
            <v>Permissions and IDs for store associates and cashiers.</v>
          </cell>
        </row>
        <row r="110">
          <cell r="B110" t="str">
            <v>RetailStoreTable</v>
          </cell>
          <cell r="C110" t="str">
            <v>Stores</v>
          </cell>
          <cell r="D110" t="str">
            <v>Configuration for physical storefronts or e-commerce sites.</v>
          </cell>
        </row>
        <row r="111">
          <cell r="B111" t="str">
            <v>RetailTerminalTable</v>
          </cell>
          <cell r="C111" t="str">
            <v>POS registers</v>
          </cell>
          <cell r="D111" t="str">
            <v>Specific register/hardware metadata for stores.</v>
          </cell>
        </row>
        <row r="112">
          <cell r="B112" t="str">
            <v>RetailTransactionTable</v>
          </cell>
          <cell r="C112" t="str">
            <v>Transactions</v>
          </cell>
          <cell r="D112" t="str">
            <v>Header for POS (Point of Sale) sales from physical stores.</v>
          </cell>
        </row>
        <row r="113">
          <cell r="B113" t="str">
            <v>Route</v>
          </cell>
          <cell r="C113" t="str">
            <v>Route</v>
          </cell>
          <cell r="D113" t="str">
            <v>Detailed steps within a route.</v>
          </cell>
        </row>
        <row r="114">
          <cell r="B114" t="str">
            <v>RouteTable</v>
          </cell>
          <cell r="C114" t="str">
            <v>Routes</v>
          </cell>
          <cell r="D114" t="str">
            <v>List of operations (Cut, Weld, Paint).</v>
          </cell>
        </row>
        <row r="115">
          <cell r="B115" t="str">
            <v>SalesLine</v>
          </cell>
          <cell r="C115" t="str">
            <v>Order lines</v>
          </cell>
          <cell r="D115" t="str">
            <v>Specific items, quantities, and prices on an order.
Rules:
1. Unit Price Rule: Determined by the hierarchy: Sales Agreement → Trade Agreement → Item Base Price → Standard Cost → Default Sales Price.
2. When a user enters a Qty and ItemId, the system calculates the following dates based on a specific hierarchy (delivery date control(:
Sales Lead Time: A fixed number of days defined on the Product or Site &gt; ATP (Available to Promise): Calculations based on current inventory + incoming supply (Purchase Orders/Production) - outgoing demand &gt; CTP (Capable to Promise): The most complex rule; it looks at production capacity and raw material availability.
3. For "Actual Sales," the agent should ignore SalesLine and query CustInvoiceTrans. SalesLine includes deleted, cancelled, or quoted orders; CustInvoiceTrans only contains what was actually billed.</v>
          </cell>
        </row>
        <row r="116">
          <cell r="B116" t="str">
            <v>SalesParameters</v>
          </cell>
          <cell r="C116" t="str">
            <v>Sales parameters</v>
          </cell>
          <cell r="D116" t="str">
            <v>Global settings for the Sales module.</v>
          </cell>
        </row>
        <row r="117">
          <cell r="B117" t="str">
            <v>SalesQuotationLine</v>
          </cell>
          <cell r="C117" t="str">
            <v>Quotation lines</v>
          </cell>
          <cell r="D117" t="str">
            <v>Item details on a quote.</v>
          </cell>
        </row>
        <row r="118">
          <cell r="B118" t="str">
            <v>SalesQuotationTable</v>
          </cell>
          <cell r="C118" t="str">
            <v>Sales quotation</v>
          </cell>
          <cell r="D118" t="str">
            <v>Pre-sales documents for customers.</v>
          </cell>
        </row>
        <row r="119">
          <cell r="B119" t="str">
            <v>SalesTable</v>
          </cell>
          <cell r="C119" t="str">
            <v>Sales orders</v>
          </cell>
          <cell r="D119" t="str">
            <v>Orders created for customers.
- Schedule shipping rules: To determine when an item should have shipped, the agent must look at SalesLine.ShippingDateConfirmed. If that is empty (null/zero), it must fallback to SalesLine.ShippingDateRequested.
- Actual shipping rules: The SalesLine table does not store the "Actual" physical ship date for historical analysis. Your agent must join to CustInvoiceJour (the invoice date) or SalesLine.confirmedDlv to see when the status changed.
</v>
          </cell>
        </row>
        <row r="120">
          <cell r="B120" t="str">
            <v>SalesTableHistory</v>
          </cell>
          <cell r="C120" t="str">
            <v>Archived sales order header</v>
          </cell>
          <cell r="D120" t="str">
            <v>Audit trail of changes to sales orders.</v>
          </cell>
        </row>
        <row r="121">
          <cell r="B121" t="str">
            <v>TaxData</v>
          </cell>
          <cell r="C121" t="str">
            <v>Sales tax details</v>
          </cell>
          <cell r="D121" t="str">
            <v>Stores historical and current sales tax rates.</v>
          </cell>
        </row>
        <row r="122">
          <cell r="B122" t="str">
            <v>TaxGroupData</v>
          </cell>
          <cell r="C122" t="str">
            <v>Sales tax group</v>
          </cell>
          <cell r="D122" t="str">
            <v>Links tax codes to specific groups (e.g., State Tax).</v>
          </cell>
        </row>
        <row r="123">
          <cell r="B123" t="str">
            <v>TaxTrans</v>
          </cell>
          <cell r="C123" t="str">
            <v>Posted sales tax</v>
          </cell>
          <cell r="D123" t="str">
            <v>Records tax calculated on posted documents.</v>
          </cell>
        </row>
        <row r="124">
          <cell r="B124" t="str">
            <v>TMSCarrier</v>
          </cell>
          <cell r="C124" t="str">
            <v>Carrier</v>
          </cell>
          <cell r="D124" t="str">
            <v>Master list of shipping providers (FedEx, UPS, Freight).</v>
          </cell>
        </row>
        <row r="125">
          <cell r="B125" t="str">
            <v>TMSRouteTable</v>
          </cell>
          <cell r="C125" t="str">
            <v>Route</v>
          </cell>
          <cell r="D125" t="str">
            <v>The plan for a truck's journey from warehouse to customer.</v>
          </cell>
        </row>
        <row r="126">
          <cell r="B126" t="str">
            <v>VendBankAccount</v>
          </cell>
          <cell r="C126" t="str">
            <v>Vendor bank accounts</v>
          </cell>
          <cell r="D126" t="str">
            <v>Where we send money to the supplier.</v>
          </cell>
        </row>
        <row r="127">
          <cell r="B127" t="str">
            <v>VendGroup</v>
          </cell>
          <cell r="C127" t="str">
            <v>Vendor groups</v>
          </cell>
          <cell r="D127" t="str">
            <v>Categorizes suppliers (Domestic, Foreign, etc.).</v>
          </cell>
        </row>
        <row r="128">
          <cell r="B128" t="str">
            <v>VendInvoiceInfoLine</v>
          </cell>
          <cell r="C128" t="str">
            <v>Vendor invoice lines</v>
          </cell>
          <cell r="D128" t="str">
            <v>Detail of invoices currently sitting in a draft/approval state.</v>
          </cell>
        </row>
        <row r="129">
          <cell r="B129" t="str">
            <v>VendInvoiceInfoTable</v>
          </cell>
          <cell r="C129" t="str">
            <v>Vendor invoices</v>
          </cell>
          <cell r="D129" t="str">
            <v>Invoices currently in the approval workflow.</v>
          </cell>
        </row>
        <row r="130">
          <cell r="B130" t="str">
            <v>VendInvoiceJour</v>
          </cell>
          <cell r="C130" t="str">
            <v>Vendor invoice journal</v>
          </cell>
          <cell r="D130" t="str">
            <v>Records of posted vendor invoices.</v>
          </cell>
        </row>
        <row r="131">
          <cell r="B131" t="str">
            <v>VendInvoiceTrans</v>
          </cell>
          <cell r="C131" t="str">
            <v>Posted vendor invoice lines</v>
          </cell>
          <cell r="D131" t="str">
            <v>Detail of what was billed by the supplier.</v>
          </cell>
        </row>
        <row r="132">
          <cell r="B132" t="str">
            <v>VendPackingSlipJour</v>
          </cell>
          <cell r="C132" t="str">
            <v>Vendor product receipts</v>
          </cell>
          <cell r="D132" t="str">
            <v>Header record for "Goods Received" (GRN).</v>
          </cell>
        </row>
        <row r="133">
          <cell r="B133" t="str">
            <v>VendPackingSlipTrans</v>
          </cell>
          <cell r="C133" t="str">
            <v>Vendor - product receipt lines</v>
          </cell>
          <cell r="D133" t="str">
            <v>Detailed items received into the warehouse.</v>
          </cell>
        </row>
        <row r="134">
          <cell r="B134" t="str">
            <v>VendPaymModeTable</v>
          </cell>
          <cell r="C134" t="str">
            <v>Methods of payment - vendors</v>
          </cell>
          <cell r="D134" t="str">
            <v>How we pay vendors (Electronic, Check).</v>
          </cell>
        </row>
        <row r="135">
          <cell r="B135" t="str">
            <v>VendRequest</v>
          </cell>
          <cell r="C135" t="str">
            <v>Vendor requests</v>
          </cell>
          <cell r="D135" t="str">
            <v>Onboarding workflow for new suppliers.</v>
          </cell>
        </row>
        <row r="136">
          <cell r="B136" t="str">
            <v>VendSettlement</v>
          </cell>
          <cell r="C136" t="str">
            <v>Vendor settlement</v>
          </cell>
          <cell r="D136" t="str">
            <v>Matches payments to vendor invoices.</v>
          </cell>
        </row>
        <row r="137">
          <cell r="B137" t="str">
            <v>VendTable</v>
          </cell>
          <cell r="C137" t="str">
            <v>Vendors</v>
          </cell>
          <cell r="D137" t="str">
            <v>Supplier master records.</v>
          </cell>
        </row>
        <row r="138">
          <cell r="B138" t="str">
            <v>VendTrans</v>
          </cell>
          <cell r="C138" t="str">
            <v>Vendor transactions</v>
          </cell>
          <cell r="D138" t="str">
            <v>Records of invoices received and payments made.</v>
          </cell>
        </row>
        <row r="139">
          <cell r="B139" t="str">
            <v>VendTransOpen</v>
          </cell>
          <cell r="C139" t="str">
            <v>Open vendor transactions</v>
          </cell>
          <cell r="D139" t="str">
            <v>Unpaid vendor bills.</v>
          </cell>
        </row>
        <row r="140">
          <cell r="B140" t="str">
            <v>WHSContainerTable</v>
          </cell>
          <cell r="C140" t="str">
            <v>Containers</v>
          </cell>
          <cell r="D140" t="str">
            <v>Tracks the boxes or pallets items are packed into for shipping.</v>
          </cell>
        </row>
        <row r="141">
          <cell r="B141" t="str">
            <v>WHSInventReserve</v>
          </cell>
          <cell r="C141" t="str">
            <v>Inventory reservations</v>
          </cell>
          <cell r="D141" t="str">
            <v>Tracks physical stock "locked" for a specific warehouse work order.</v>
          </cell>
        </row>
        <row r="142">
          <cell r="B142" t="str">
            <v>WHSLocationProfile</v>
          </cell>
          <cell r="C142" t="str">
            <v>Location profiles</v>
          </cell>
          <cell r="D142" t="str">
            <v>Rules for a bin (e.g., "Allow mixed items" or "Pickable").</v>
          </cell>
        </row>
        <row r="143">
          <cell r="B143" t="str">
            <v>WHSWaveTable</v>
          </cell>
          <cell r="C143" t="str">
            <v>Waves</v>
          </cell>
          <cell r="D143" t="str">
            <v>A batch of warehouse work released for picking simultaneously.</v>
          </cell>
        </row>
        <row r="144">
          <cell r="B144" t="str">
            <v>WHSWorkPool</v>
          </cell>
          <cell r="C144" t="str">
            <v>Work pools</v>
          </cell>
          <cell r="D144" t="str">
            <v>Categorizes warehouse work for different teams (e.g., Forklift vs. Manual).</v>
          </cell>
        </row>
        <row r="145">
          <cell r="B145" t="str">
            <v>WHSZone</v>
          </cell>
          <cell r="C145" t="str">
            <v>Warehouse zones</v>
          </cell>
          <cell r="D145" t="str">
            <v>Groups of locations (e.g., Refrigerated Zone, Bulk Zone).</v>
          </cell>
        </row>
        <row r="146">
          <cell r="B146" t="str">
            <v>WMSLocation</v>
          </cell>
          <cell r="C146" t="str">
            <v>Locations</v>
          </cell>
          <cell r="D146" t="str">
            <v>Aisle, Rack, Shelf, and Bin details.</v>
          </cell>
        </row>
        <row r="147">
          <cell r="B147" t="str">
            <v>WrkCtrCapRes</v>
          </cell>
          <cell r="C147" t="str">
            <v>Capacity reservations</v>
          </cell>
          <cell r="D147" t="str">
            <v>Tracks how many hours a machine has available for work.</v>
          </cell>
        </row>
        <row r="148">
          <cell r="B148" t="str">
            <v>WrkCtrTable</v>
          </cell>
          <cell r="C148" t="str">
            <v>Resources</v>
          </cell>
          <cell r="D148" t="str">
            <v>Machines, Tools, or People used in production.</v>
          </cell>
        </row>
        <row r="149">
          <cell r="B149" t="str">
            <v>VendReceiptsListJour</v>
          </cell>
          <cell r="C149" t="str">
            <v>Receipts list journal</v>
          </cell>
          <cell r="D149" t="str">
            <v>Header for the Vendor Receipts List, often used for internal tracking of received goods.</v>
          </cell>
        </row>
        <row r="150">
          <cell r="B150" t="str">
            <v>AssetDepBookJournalTable</v>
          </cell>
          <cell r="C150" t="str">
            <v>Fixed asset book journal table</v>
          </cell>
          <cell r="D150" t="str">
            <v>Header for Fixed Asset depreciation book journals.</v>
          </cell>
        </row>
        <row r="151">
          <cell r="B151" t="str">
            <v>AssetDepBookJournalTrans</v>
          </cell>
          <cell r="C151" t="str">
            <v>Fixed asset book journal line</v>
          </cell>
          <cell r="D151" t="str">
            <v>Individual transactions for Fixed Asset depreciation.</v>
          </cell>
        </row>
        <row r="152">
          <cell r="B152" t="str">
            <v>PriceDiscAdmTable</v>
          </cell>
          <cell r="C152" t="str">
            <v>Trade agreement journal table</v>
          </cell>
          <cell r="D152" t="str">
            <v>Header for Price/Discount agreement journals (Trade Agreements).</v>
          </cell>
        </row>
        <row r="153">
          <cell r="B153" t="str">
            <v>PriceDiscAdmTrans</v>
          </cell>
          <cell r="C153" t="str">
            <v>Trade agreement journal lines</v>
          </cell>
          <cell r="D153" t="str">
            <v>Lines for Price/Discount agreements (setting prices for specific customers/items).</v>
          </cell>
        </row>
        <row r="154">
          <cell r="B154" t="str">
            <v>LedgerPostingJournal</v>
          </cell>
          <cell r="C154" t="str">
            <v>Posting journals</v>
          </cell>
          <cell r="D154" t="str">
            <v>Stores the history and statistics of journals that have been successfully posted.</v>
          </cell>
        </row>
        <row r="155">
          <cell r="B155" t="str">
            <v>LedgerPostingJournalVoucherSeries</v>
          </cell>
          <cell r="C155" t="str">
            <v>Posting journal and voucher series</v>
          </cell>
          <cell r="D155" t="str">
            <v>Tracks the voucher number sequences used during the posting of a specific journal.</v>
          </cell>
        </row>
        <row r="156">
          <cell r="B156" t="str">
            <v>CustVendPaymJournalFee</v>
          </cell>
          <cell r="C156" t="str">
            <v>Payment journal fee</v>
          </cell>
          <cell r="D156" t="str">
            <v>Manages fees associated with customer or vendor payment journals.</v>
          </cell>
        </row>
        <row r="157">
          <cell r="B157" t="str">
            <v>LedgerJournalTrans_Project</v>
          </cell>
          <cell r="C157" t="str">
            <v>Project journal lines</v>
          </cell>
          <cell r="D157" t="str">
            <v>Linking table that holds project-specific data for a ledger journal line.</v>
          </cell>
        </row>
        <row r="158">
          <cell r="B158" t="str">
            <v>LedgerJournalTrans_Allocation</v>
          </cell>
          <cell r="C158" t="str">
            <v>Journal allocations</v>
          </cell>
          <cell r="D158" t="str">
            <v>Manages cost or revenue allocation details for a ledger transaction.</v>
          </cell>
        </row>
        <row r="159">
          <cell r="B159" t="str">
            <v>LedgerJournalTrans_RAsset</v>
          </cell>
          <cell r="C159" t="str">
            <v>Asset journal lines</v>
          </cell>
          <cell r="D159" t="str">
            <v>Russian localization table for Fixed Asset transactions within a journal.</v>
          </cell>
        </row>
        <row r="160">
          <cell r="B160" t="str">
            <v>LedgerJournalTrans_RCash</v>
          </cell>
          <cell r="C160" t="str">
            <v>Cash journal</v>
          </cell>
          <cell r="D160" t="str">
            <v>Russian localization table for Cash transaction details within a journal.</v>
          </cell>
        </row>
        <row r="161">
          <cell r="B161" t="str">
            <v>LedgerJournalTrans_RDeferrals</v>
          </cell>
          <cell r="C161" t="str">
            <v>Deferrals journal</v>
          </cell>
          <cell r="D161" t="str">
            <v>Russian localization table for managing deferred expenses or revenues.</v>
          </cell>
        </row>
        <row r="162">
          <cell r="B162" t="str">
            <v>LedgerJournalTableHistory</v>
          </cell>
          <cell r="C162" t="str">
            <v>LedgerJournalTable history data.</v>
          </cell>
          <cell r="D162" t="str">
            <v>Stores historical audit versions of the journal header before or after changes.</v>
          </cell>
        </row>
        <row r="163">
          <cell r="B163" t="str">
            <v>LedgerJournalTransHistory</v>
          </cell>
          <cell r="C163" t="str">
            <v>LedgerJournalTrans history data.</v>
          </cell>
          <cell r="D163" t="str">
            <v>Stores historical audit versions of individual journal lines.</v>
          </cell>
        </row>
        <row r="164">
          <cell r="B164" t="str">
            <v>CredManTable</v>
          </cell>
          <cell r="C164" t="str">
            <v>Credit management</v>
          </cell>
          <cell r="D164" t="str">
            <v>Part of the Credit Management module; handles credit limit rules and parameters.</v>
          </cell>
        </row>
        <row r="165">
          <cell r="B165" t="str">
            <v>CustVendCreditInvoicingJour</v>
          </cell>
          <cell r="C165" t="str">
            <v>Credit invoicing jour</v>
          </cell>
          <cell r="D165" t="str">
            <v>Journal header for credit invoicing shared between customers and vendors.</v>
          </cell>
        </row>
        <row r="166">
          <cell r="B166" t="str">
            <v>CustVendCreditInvoicingLine</v>
          </cell>
          <cell r="C166" t="str">
            <v>Credit invoicing lines</v>
          </cell>
          <cell r="D166" t="str">
            <v>Line details for credit invoicing journals.</v>
          </cell>
        </row>
        <row r="167">
          <cell r="B167" t="str">
            <v>CustVendCreditInvoicingTrans</v>
          </cell>
          <cell r="C167" t="str">
            <v>Credit invoicing transactions</v>
          </cell>
          <cell r="D167" t="str">
            <v>Finalized transactions for credit invoicing.</v>
          </cell>
        </row>
        <row r="168">
          <cell r="B168" t="str">
            <v>CustInvoiceTable</v>
          </cell>
          <cell r="C168" t="str">
            <v>Customer free text invoice</v>
          </cell>
          <cell r="D168" t="str">
            <v>Header for Free Text Invoices (non-Sales Order based invoices).</v>
          </cell>
        </row>
        <row r="169">
          <cell r="B169" t="str">
            <v>CustInvoiceLine</v>
          </cell>
          <cell r="C169" t="str">
            <v>Customer free text invoice lines</v>
          </cell>
          <cell r="D169" t="str">
            <v>Detailed lines for Free Text Invoices.</v>
          </cell>
        </row>
        <row r="170">
          <cell r="B170" t="str">
            <v>ForecastSales</v>
          </cell>
          <cell r="C170" t="str">
            <v>Demand forecast</v>
          </cell>
          <cell r="D170" t="str">
            <v>Stores demand forecast entries for sales items.</v>
          </cell>
        </row>
        <row r="171">
          <cell r="B171" t="str">
            <v>LedgerJournalTransAccrual</v>
          </cell>
          <cell r="C171" t="str">
            <v>Ledger accruals</v>
          </cell>
          <cell r="D171" t="str">
            <v>Stores details for ledger accrual schemes (e.g., prepaid insurance spread over 12 months).</v>
          </cell>
        </row>
        <row r="172">
          <cell r="B172" t="str">
            <v>LedgerJournal</v>
          </cell>
          <cell r="C172" t="str">
            <v>LedgerJournal</v>
          </cell>
          <cell r="D172" t="str">
            <v>A Data Map that provides a unified interface for multiple journal header tables (like LedgerJournalTable, InventJournalTable, and ProdJournalTable). It allows the system to perform common actions on various journal types using a single set of code.</v>
          </cell>
        </row>
        <row r="173">
          <cell r="B173" t="str">
            <v>LedgerJournalLine</v>
          </cell>
          <cell r="C173" t="str">
            <v>LedgerJournalLine</v>
          </cell>
          <cell r="D173" t="str">
            <v>The transaction lines associated with a LedgerJournalTable header.</v>
          </cell>
        </row>
        <row r="174">
          <cell r="B174" t="str">
            <v>WHSLoadTable</v>
          </cell>
          <cell r="C174" t="str">
            <v>Loads</v>
          </cell>
          <cell r="D174" t="str">
            <v>Header for a Load, which groups shipments together for transport.</v>
          </cell>
        </row>
        <row r="175">
          <cell r="B175" t="str">
            <v>WHSLoadLine</v>
          </cell>
          <cell r="C175" t="str">
            <v>Load details</v>
          </cell>
          <cell r="D175" t="str">
            <v>Individual items or orders attached to a specific Load.</v>
          </cell>
        </row>
        <row r="176">
          <cell r="B176" t="str">
            <v>WHSHistory</v>
          </cell>
          <cell r="C176" t="str">
            <v>Load history</v>
          </cell>
          <cell r="D176" t="str">
            <v>Archive table for historical warehouse transactions and movements.</v>
          </cell>
        </row>
        <row r="177">
          <cell r="B177" t="str">
            <v>EntAssetChecklistTemplate</v>
          </cell>
          <cell r="C177" t="str">
            <v>Maintenance Checklist template</v>
          </cell>
          <cell r="D177" t="str">
            <v>Header for checklists used in Enterprise Asset Management (EAM) work orders.</v>
          </cell>
        </row>
        <row r="178">
          <cell r="B178" t="str">
            <v>EntAssetChecklistTemplateLine</v>
          </cell>
          <cell r="C178" t="str">
            <v>Maintenance checklist template line</v>
          </cell>
          <cell r="D178" t="str">
            <v>Individual steps or questions in an EAM checklist template.</v>
          </cell>
        </row>
        <row r="179">
          <cell r="B179" t="str">
            <v>EntAssetJobTypeDefault</v>
          </cell>
          <cell r="C179" t="str">
            <v>Maintenance job type defaults</v>
          </cell>
          <cell r="D179" t="str">
            <v>Default settings for specific types of maintenance jobs.</v>
          </cell>
        </row>
        <row r="180">
          <cell r="B180" t="str">
            <v>SalesPool</v>
          </cell>
          <cell r="C180" t="str">
            <v>Order pools</v>
          </cell>
          <cell r="D180" t="str">
            <v>A configuration table used to categorize sales orders for easier processing.</v>
          </cell>
        </row>
        <row r="181">
          <cell r="B181" t="str">
            <v>WHSOutboundShipmentOrderLine</v>
          </cell>
          <cell r="C181" t="str">
            <v>Outbound shipment order lines</v>
          </cell>
          <cell r="D181" t="str">
            <v>Line details for outbound shipment orders.</v>
          </cell>
        </row>
        <row r="182">
          <cell r="B182" t="str">
            <v>WHSOutboundShipmentOrder</v>
          </cell>
          <cell r="C182" t="str">
            <v>Outbound shipment orders</v>
          </cell>
          <cell r="D182" t="str">
            <v>Header for outbound shipment orders used in advanced warehousing.</v>
          </cell>
        </row>
        <row r="183">
          <cell r="B183" t="str">
            <v>EcoResProductDimensionGroup</v>
          </cell>
          <cell r="C183" t="str">
            <v>Product dimension groups</v>
          </cell>
          <cell r="D183" t="str">
            <v>Defines which dimensions (Size, Color, Style, Config) are active for a product.</v>
          </cell>
        </row>
        <row r="184">
          <cell r="B184" t="str">
            <v>RetailKit</v>
          </cell>
          <cell r="C184" t="str">
            <v>Product kit</v>
          </cell>
          <cell r="D184" t="str">
            <v>Stores the header definitions for product kits. it links a specific product (defined in EcoResProduct) as being a "Kit" type and manages the configuration, versioning, and status of that kit.</v>
          </cell>
        </row>
        <row r="185">
          <cell r="B185" t="str">
            <v>EcoResProductIdentifier</v>
          </cell>
          <cell r="C185" t="str">
            <v>Product number</v>
          </cell>
          <cell r="D185" t="str">
            <v>Stores various identification codes for a product (like GTIN or specialized IDs).</v>
          </cell>
        </row>
        <row r="186">
          <cell r="B186" t="str">
            <v>EcoResNomenclature</v>
          </cell>
          <cell r="C186" t="str">
            <v>Product nomenclature</v>
          </cell>
          <cell r="D186" t="str">
            <v>Defines naming rules and templates for product numbering.</v>
          </cell>
        </row>
        <row r="187">
          <cell r="B187" t="str">
            <v>EcoResProductVariantVersion</v>
          </cell>
          <cell r="C187" t="str">
            <v>Product variant versions</v>
          </cell>
          <cell r="D187" t="str">
            <v>Manages versioning for specific product variants.</v>
          </cell>
        </row>
        <row r="188">
          <cell r="B188" t="str">
            <v>EcoResDistinctProductVariant</v>
          </cell>
          <cell r="C188" t="str">
            <v>Product variants</v>
          </cell>
          <cell r="D188" t="str">
            <v>The master table for a unique combination of dimensions (e.g., Red-Large-Cotton).</v>
          </cell>
        </row>
        <row r="189">
          <cell r="B189" t="str">
            <v>EcoResProductVariantColor</v>
          </cell>
          <cell r="C189" t="str">
            <v>Product variants colors</v>
          </cell>
          <cell r="D189" t="str">
            <v>Stores the color dimension value for a specific variant.</v>
          </cell>
        </row>
        <row r="190">
          <cell r="B190" t="str">
            <v>EcoResProductVariantConfiguration</v>
          </cell>
          <cell r="C190" t="str">
            <v>Product variants configurations</v>
          </cell>
          <cell r="D190" t="str">
            <v>Stores the configuration dimension value for a specific variant.</v>
          </cell>
        </row>
        <row r="191">
          <cell r="B191" t="str">
            <v>EcoResProductVariantSize</v>
          </cell>
          <cell r="C191" t="str">
            <v>Product variants sizes</v>
          </cell>
          <cell r="D191" t="str">
            <v>Stores the size dimension value for a specific variant.</v>
          </cell>
        </row>
        <row r="192">
          <cell r="B192" t="str">
            <v>EcoResProductVariantStyle</v>
          </cell>
          <cell r="C192" t="str">
            <v>Product variants styles</v>
          </cell>
          <cell r="D192" t="str">
            <v>Stores the style dimension value for a specific variant.</v>
          </cell>
        </row>
        <row r="193">
          <cell r="B193" t="str">
            <v>ProdBOM</v>
          </cell>
          <cell r="C193" t="str">
            <v>Production BOM</v>
          </cell>
          <cell r="D193" t="str">
            <v>The Bill of Materials for a specific Production Order (raw materials needed).</v>
          </cell>
        </row>
        <row r="194">
          <cell r="B194" t="str">
            <v>WHSProductionScrapHistory</v>
          </cell>
          <cell r="C194" t="str">
            <v>Production scrap</v>
          </cell>
          <cell r="D194" t="str">
            <v>Logs details of materials reported as scrap during production orders.</v>
          </cell>
        </row>
        <row r="195">
          <cell r="B195" t="str">
            <v>EcoResProductDimensionGroupProduct</v>
          </cell>
          <cell r="C195" t="str">
            <v>Products - dimension groups</v>
          </cell>
          <cell r="D195" t="str">
            <v>Associates a specific product with a Product Dimension Group.</v>
          </cell>
        </row>
        <row r="196">
          <cell r="B196" t="str">
            <v>EcoResStorageDimensionGroupProduct</v>
          </cell>
          <cell r="C196" t="str">
            <v>Products - storage dimension groups</v>
          </cell>
          <cell r="D196" t="str">
            <v>Associates a product with a Storage Group (Site, Warehouse, Location).</v>
          </cell>
        </row>
        <row r="197">
          <cell r="B197" t="str">
            <v>EcoResTrackingDimensionGroupProduct</v>
          </cell>
          <cell r="C197" t="str">
            <v>Products - tracking dimension groups</v>
          </cell>
          <cell r="D197" t="str">
            <v>Associates a product with a Tracking Group (Serial number, Batch number).</v>
          </cell>
        </row>
        <row r="198">
          <cell r="B198" t="str">
            <v>ProjAllocateTrans</v>
          </cell>
          <cell r="C198" t="str">
            <v>Project - allocation transaction</v>
          </cell>
          <cell r="D198" t="str">
            <v>Records of project transactions that have been allocated to other accounts.</v>
          </cell>
        </row>
        <row r="199">
          <cell r="B199" t="str">
            <v>ProjectAccountingDistribution</v>
          </cell>
          <cell r="C199" t="str">
            <v>Project accounting distribution</v>
          </cell>
          <cell r="D199" t="str">
            <v>Tracks how project amounts are split across different financial dimensions.</v>
          </cell>
        </row>
        <row r="200">
          <cell r="B200" t="str">
            <v>ProjInvoiceJour</v>
          </cell>
          <cell r="C200" t="str">
            <v>Project invoice</v>
          </cell>
          <cell r="D200" t="str">
            <v>Historical record of all invoices issued for projects.</v>
          </cell>
        </row>
        <row r="201">
          <cell r="B201" t="str">
            <v>ProjJournalTrans</v>
          </cell>
          <cell r="C201" t="str">
            <v>Project journal</v>
          </cell>
          <cell r="D201" t="str">
            <v>Detailed transactions for project journals.</v>
          </cell>
        </row>
        <row r="202">
          <cell r="B202" t="str">
            <v>ProjJournalTable</v>
          </cell>
          <cell r="C202" t="str">
            <v>Project journal table</v>
          </cell>
          <cell r="D202" t="str">
            <v>Header for project-related journals (Hours, Expenses, Fees, Items).</v>
          </cell>
        </row>
        <row r="203">
          <cell r="B203" t="str">
            <v>PurchPool</v>
          </cell>
          <cell r="C203" t="str">
            <v>Purchase pools</v>
          </cell>
          <cell r="D203" t="str">
            <v>Used to group purchase orders for filtering and reporting.</v>
          </cell>
        </row>
        <row r="204">
          <cell r="B204" t="str">
            <v>PurchReqBusJustification</v>
          </cell>
          <cell r="C204" t="str">
            <v>Purchase requisition business justification</v>
          </cell>
          <cell r="D204" t="str">
            <v>Stores the business justification text for a Purchase Requisition.</v>
          </cell>
        </row>
        <row r="205">
          <cell r="B205" t="str">
            <v>PurchReqLineHistory</v>
          </cell>
          <cell r="C205" t="str">
            <v>Purchase requisition lines</v>
          </cell>
          <cell r="D205" t="str">
            <v>Audit trail of changes made to Purchase Requisition lines.</v>
          </cell>
        </row>
        <row r="206">
          <cell r="B206" t="str">
            <v>VendReceiptsListTrans</v>
          </cell>
          <cell r="C206" t="str">
            <v>Receipts list lines</v>
          </cell>
          <cell r="D206" t="str">
            <v>Line details for the Vendor Receipts List.</v>
          </cell>
        </row>
        <row r="207">
          <cell r="B207" t="str">
            <v>ResourceSetup</v>
          </cell>
          <cell r="C207" t="str">
            <v>Resource</v>
          </cell>
          <cell r="D207" t="str">
            <v>Configuration for production resources (machines, humans, or tools).</v>
          </cell>
        </row>
        <row r="208">
          <cell r="B208" t="str">
            <v>UnitOfMeasure</v>
          </cell>
          <cell r="C208" t="str">
            <v>Units</v>
          </cell>
          <cell r="D208" t="str">
            <v>The global repository for all units (Pounds, Kilograms, Each, etc.).
Rules:
1. The InventTable defines the "Base Unit" (the lowest common denominator). If a Purch/SalesLine is created in "Pallets" but the InventTable is in "Each," the system looks at the UnitOfMeasureConversion table to find a conversion factor. Hierarchy: Product-specific conversion: Check if there is a rule specifically for ItemId X &gt; Standard conversion: If no product rule exists, use the global rule (e.g., 1 kg = 1000 g).</v>
          </cell>
        </row>
        <row r="209">
          <cell r="B209" t="str">
            <v>UnitOfMeasureConversion</v>
          </cell>
          <cell r="C209" t="str">
            <v>Unit conversions</v>
          </cell>
          <cell r="D209" t="str">
            <v>The "bridge" table defining how one unit translates to another (e.g., 1 Box = 12 Pieces).
Rule: Critical. Check for "Circular Conversions" (A to B, B to A) or missing conversions for items moved between warehouse and sales units.</v>
          </cell>
        </row>
        <row r="210">
          <cell r="B210" t="str">
            <v>ITMTable</v>
          </cell>
          <cell r="C210" t="str">
            <v>Voyages</v>
          </cell>
          <cell r="D210" t="str">
            <v>The header for a Voyage. It groups all shipments and containers.
Rule: Ensure VoyageId is unique. Status should not be 'Closed' if child containers are still 'In transit'.</v>
          </cell>
        </row>
        <row r="211">
          <cell r="B211" t="str">
            <v>ITMContainers</v>
          </cell>
          <cell r="C211" t="str">
            <v>Voyage containers</v>
          </cell>
          <cell r="D211" t="str">
            <v>Stores shipping container details.
Rule: Check if ContainerId is linked to an active Voyage. Verify gross weight/volume isn't zero.</v>
          </cell>
        </row>
        <row r="212">
          <cell r="B212" t="str">
            <v>ITMFolioTable</v>
          </cell>
          <cell r="C212" t="str">
            <v>Folios</v>
          </cell>
          <cell r="D212" t="str">
            <v>Groups items within a voyage for customs or billing purposes.
Rule: A Folio must belong to one Voyage. Items in a Folio should usually share the same HSN/Customs code.</v>
          </cell>
        </row>
        <row r="213">
          <cell r="B213" t="str">
            <v>ITMContainerActivityTable</v>
          </cell>
          <cell r="C213" t="str">
            <v>Shipping container activities</v>
          </cell>
          <cell r="D213" t="str">
            <v>Tracks the specific journey milestones (e.g., Loading, Customs Clear, Arrival) for Landed Cost shipping containers.
Rule: Activity dates must follow a logical timeline; a container cannot have a "Port of Discharge" date that is earlier than the "Port of Loading" date.</v>
          </cell>
        </row>
        <row r="214">
          <cell r="B214" t="str">
            <v>ITMLine</v>
          </cell>
          <cell r="C214" t="str">
            <v>Voyage item lines</v>
          </cell>
          <cell r="D214" t="str">
            <v>Contains the individual Purchase Order lines associated with a Voyage, used for tracking and cost allocation.
Rule: The sum of quantities across all ITMLine records for a specific PO line cannot exceed the original PurchLine quantity.</v>
          </cell>
        </row>
        <row r="215">
          <cell r="B215" t="str">
            <v>ITMCostEstimateTable</v>
          </cell>
          <cell r="C215" t="str">
            <v>Cost estimates</v>
          </cell>
          <cell r="D215" t="str">
            <v>Holds estimated "Landed Costs" (freight, duty, etc.).
Rule: Flag if estimates are missing for voyages in "In Transit" status.</v>
          </cell>
        </row>
        <row r="216">
          <cell r="B216" t="str">
            <v>ITMStatusTable</v>
          </cell>
          <cell r="C216" t="str">
            <v>Voyage statuses</v>
          </cell>
          <cell r="D216" t="str">
            <v>Defines the sequence of status codes (e.g., Created, Shipped, Invoiced) for Landed Cost voyages
Rule: Status transitions must be validated against the "Voyage status" configuration to ensure the voyage doesn't skip critical business process steps.</v>
          </cell>
        </row>
        <row r="217">
          <cell r="B217" t="str">
            <v>ITMCostAutoLine</v>
          </cell>
          <cell r="C217" t="str">
            <v>Auto cost lines</v>
          </cell>
          <cell r="D217" t="str">
            <v>Rules for automatically applying costs (e.g., 2% freight on all China routes).
Rule: Look for overlapping rules that might double-charge a specific voyage.</v>
          </cell>
        </row>
        <row r="218">
          <cell r="B218" t="str">
            <v>PurchRFQCaseTable</v>
          </cell>
          <cell r="C218" t="str">
            <v>Request for quotation cases</v>
          </cell>
          <cell r="D218" t="str">
            <v>The header table for Request for Quotation cases, managing the bidding process for specific procurement needs.
Rule: The ExpiryDate and ExpirationTime must be in the future, and the status must be 'Sent' before the system allows vendor bid entries.</v>
          </cell>
        </row>
        <row r="219">
          <cell r="B219" t="str">
            <v>CatProcureCatalogTable</v>
          </cell>
          <cell r="C219" t="str">
            <v>Procurement catalogs</v>
          </cell>
          <cell r="D219" t="str">
            <v>Manages the internal procurement catalogs used by employees to purchase products through the employee self-service portal.
Rule: Verify that the catalog is marked as 'Active' and that the current date falls within the ValidFrom and ValidTo range.</v>
          </cell>
        </row>
        <row r="220">
          <cell r="B220" t="str">
            <v>CatVendorCatalog</v>
          </cell>
          <cell r="C220" t="str">
            <v>Vendor catalogs</v>
          </cell>
          <cell r="D220" t="str">
            <v>Holds imported product information and pricing provided directly by external vendors.
Rule: Flag any records where the Price is zero or the Currency code is missing or does not match the vendor's base currency.</v>
          </cell>
        </row>
        <row r="221">
          <cell r="B221" t="str">
            <v>TAMVendRebateAgreement</v>
          </cell>
          <cell r="C221" t="str">
            <v>Rebate agreements</v>
          </cell>
          <cell r="D221" t="str">
            <v>Stores the contractual terms for vendor rebates, defining the items, vendors, and calculation methods involved.
Rule: Check for overlapping date ranges for the same Item/Vendor combination to prevent multiple rebate agreements from being applied to a single purchase.</v>
          </cell>
        </row>
        <row r="222">
          <cell r="B222" t="str">
            <v>TAMVendRebateTable</v>
          </cell>
          <cell r="C222" t="str">
            <v>Rebate</v>
          </cell>
          <cell r="D222" t="str">
            <v>Records the actual rebate amounts earned and calculated based on purchase transactions.
Rule: The RebateStatus must be checked; if the rebate is already 'Passed to Ledger', no further manual adjustments to the amount should be permitted.</v>
          </cell>
        </row>
        <row r="223">
          <cell r="B223" t="str">
            <v>EcoResCategory</v>
          </cell>
          <cell r="C223" t="str">
            <v>Category</v>
          </cell>
          <cell r="D223" t="str">
            <v>The core table for the product category hierarchy used to classify items for procurement, sales, and reporting.
Rule: Ensure that the ParentCategory link does not create a circular reference where a category is its own ancestor.</v>
          </cell>
        </row>
        <row r="224">
          <cell r="B224" t="str">
            <v>PurchAgreementHeader</v>
          </cell>
          <cell r="C224" t="str">
            <v>Purchase agreement</v>
          </cell>
          <cell r="D224" t="str">
            <v>Stores the high-level contract details for long-term agreements with vendors (Quantity or Value based).
Rule: The agreement status must be 'Effective' for the system to allow a Purchase Release Order to be linked to it.</v>
          </cell>
        </row>
        <row r="225">
          <cell r="B225" t="str">
            <v>MCRBrokerContractTable</v>
          </cell>
          <cell r="C225" t="str">
            <v>Broker contract header</v>
          </cell>
          <cell r="D225" t="str">
            <v>Setup for broker commissions on sales/purchases.
Rule: Check if the Broker is also a valid Vendor in VendTable.</v>
          </cell>
        </row>
        <row r="226">
          <cell r="B226" t="str">
            <v>MCRRoyaltyVendTable</v>
          </cell>
          <cell r="C226" t="str">
            <v>Royalty</v>
          </cell>
          <cell r="D226" t="str">
            <v>Setup for royalty payments to intellectual property owners.
Rule: The royalty percentage/amount should be $&gt; 0$.</v>
          </cell>
        </row>
        <row r="227">
          <cell r="B227" t="str">
            <v>MarkupAutoLine</v>
          </cell>
          <cell r="C227" t="str">
            <v>Auto charges</v>
          </cell>
          <cell r="D227" t="str">
            <v>Defines the rules for automatically applying miscellaneous charges (e.g., freight or fees) to purchase or sales orders.
Rule: Validate that the MarkupCode exists and is correctly mapped to a ledger posting account in the Posting setup.</v>
          </cell>
        </row>
        <row r="228">
          <cell r="B228" t="str">
            <v>LineOfBusiness</v>
          </cell>
          <cell r="C228" t="str">
            <v>Line of business</v>
          </cell>
          <cell r="D228" t="str">
            <v>Classification of business sectors.
Rule: Ensure this is assigned to Vendors/Customers for reporting accuracy.</v>
          </cell>
        </row>
        <row r="229">
          <cell r="B229" t="str">
            <v>PurchReqBusinessJustificationCodes</v>
          </cell>
          <cell r="C229" t="str">
            <v>Business justification</v>
          </cell>
          <cell r="D229" t="str">
            <v>Reason codes for why a purchase is needed.
Rule: Ensure a code is mandatory if the workflow requires a justification.</v>
          </cell>
        </row>
        <row r="230">
          <cell r="B230" t="str">
            <v>CustVendItemGroup</v>
          </cell>
          <cell r="C230" t="str">
            <v>External item description group</v>
          </cell>
          <cell r="D230" t="str">
            <v>Link between Customers/Vendors and Item Groups.
Rule: Prevents selling/buying specific items to/from unauthorized parties.</v>
          </cell>
        </row>
        <row r="231">
          <cell r="B231" t="str">
            <v>WMSJournalTable</v>
          </cell>
          <cell r="C231" t="str">
            <v>Location journal table</v>
          </cell>
          <cell r="D231" t="str">
            <v>Header for WMS-specific journals (e.g., picking or arrival).
Rule: Cannot be deleted if Posted is true. Ensure JournalType matches the intended operation.</v>
          </cell>
        </row>
        <row r="232">
          <cell r="B232" t="str">
            <v>InventTransferTable</v>
          </cell>
          <cell r="C232" t="str">
            <v>Transfer orders</v>
          </cell>
          <cell r="D232" t="str">
            <v>Header for Transfer Orders moving stock between warehouses.
Rule: Ship date cannot be after Receipt date. Status must be 'Shipped' before 'Received' transactions can exist.</v>
          </cell>
        </row>
        <row r="233">
          <cell r="B233" t="str">
            <v>WMSShipment</v>
          </cell>
          <cell r="C233" t="str">
            <v>Shipment</v>
          </cell>
          <cell r="D233" t="str">
            <v>High-level grouping of items ready to be shipped.
Rule: Check for orphaned shipments that have no associated WMSOrder or SalesOrder.</v>
          </cell>
        </row>
        <row r="234">
          <cell r="B234" t="str">
            <v>MCRPickingWorkbenchSession</v>
          </cell>
          <cell r="C234" t="str">
            <v>Picking workbench sessions</v>
          </cell>
          <cell r="D234" t="str">
            <v>Stores temporary data for the Call Center picking workbench.
Rule: These are often transient; flag if sessions are "stuck" (open for &gt;24 hours) without a generated pick.</v>
          </cell>
        </row>
        <row r="235">
          <cell r="B235" t="str">
            <v>WMSPickingRoute</v>
          </cell>
          <cell r="C235" t="str">
            <v>Picking route</v>
          </cell>
          <cell r="D235" t="str">
            <v>The actual route/path assigned to a worker for picking.
Rule: Status should move from 'Activated' to 'Completed'. Watch for routes with 0 lines.</v>
          </cell>
        </row>
        <row r="236">
          <cell r="B236" t="str">
            <v>WMSOrder</v>
          </cell>
          <cell r="C236" t="str">
            <v>Inventory order</v>
          </cell>
          <cell r="D236" t="str">
            <v>The warehouse-level demand record for an item.
Rule: Quantity on WMSOrder must match the sum of the associated WMSJournalTrans.</v>
          </cell>
        </row>
        <row r="237">
          <cell r="B237" t="str">
            <v>KWS_StdCostUpload</v>
          </cell>
          <cell r="C237" t="str">
            <v>Std cost upload</v>
          </cell>
          <cell r="D237" t="str">
            <v>(Custom) Likely a staging table for importing standard costs.
Rule: Flag any records where the NewPrice is $&gt; 20\%$ different from the ActivePrice.</v>
          </cell>
        </row>
        <row r="238">
          <cell r="B238" t="str">
            <v>InventNumGroup</v>
          </cell>
          <cell r="C238" t="str">
            <v>Number groups</v>
          </cell>
          <cell r="D238" t="str">
            <v>Defines how batch or serial numbers are automatically assigned (manual vs. chronological).
Rule: Check if a number sequence is exhausted; orphaned items without numbers can occur if the sequence isn't linked to the Item Model Group.</v>
          </cell>
        </row>
        <row r="239">
          <cell r="B239" t="str">
            <v>PriceDiscGroup</v>
          </cell>
          <cell r="C239" t="str">
            <v>Price groups</v>
          </cell>
          <cell r="D239" t="str">
            <v>Groups customers or items for specific discounts.
Rule: Check Module type (Sales/Purch) to ensure it's not being used incorrectly.</v>
          </cell>
        </row>
        <row r="240">
          <cell r="B240" t="str">
            <v>PDSCalculationTable</v>
          </cell>
          <cell r="C240" t="str">
            <v>Calculation</v>
          </cell>
          <cell r="D240" t="str">
            <v>Defines the variables for a formula calculation (e.g., calculating active ingredient percentage).
Rule: Flag calculations where the Result is mathematically impossible based on the BatchAttrib inputs.</v>
          </cell>
        </row>
        <row r="241">
          <cell r="B241" t="str">
            <v>MarkupTable</v>
          </cell>
          <cell r="C241" t="str">
            <v>Charges code</v>
          </cell>
          <cell r="D241" t="str">
            <v>Definitions for miscellaneous charges (e.g., Handling Fee).
Rule: Verify the "Posting" setup to ensure it hits the correct GL account.</v>
          </cell>
        </row>
        <row r="242">
          <cell r="B242" t="str">
            <v>MarkupGroup</v>
          </cell>
          <cell r="C242" t="str">
            <v>Charges groups</v>
          </cell>
          <cell r="D242" t="str">
            <v>Groups of charges (e.g., "Standard Freight") applied to customers or vendors.
Rule: Ensure the group ID doesn't conflict with a specific MarkupCode to avoid confusion in the auto-charge engine.</v>
          </cell>
        </row>
        <row r="243">
          <cell r="B243" t="str">
            <v>TransportPointLine</v>
          </cell>
        </row>
        <row r="243">
          <cell r="D243" t="str">
            <v>Defines specific "hubs" or "stops" within a transportation route.
Rule: Ensure the geographical sequence of points matches the route distance logic (e.g., Stop 2 shouldn't be further than Stop 3).</v>
          </cell>
        </row>
        <row r="244">
          <cell r="B244" t="str">
            <v>InventOrderEntryDeadlineTable</v>
          </cell>
          <cell r="C244" t="str">
            <v>Order entry deadlines</v>
          </cell>
          <cell r="D244" t="str">
            <v>Defines the latest time an order can be entered to meet a specific delivery date (cutoff times).
Rule: Flag orders where the CreatedDateTime is past the deadline for the requested ShippingDate.</v>
          </cell>
        </row>
        <row r="245">
          <cell r="B245" t="str">
            <v>InventCountGroup</v>
          </cell>
          <cell r="C245" t="str">
            <v>Counting groups</v>
          </cell>
          <cell r="D245" t="str">
            <v>Groups items for cycle counting based on frequency (e.g., Daily, Monthly).
Rule: Flag items that haven't been counted within the timeframe specified by the CountingPeriod.</v>
          </cell>
        </row>
        <row r="246">
          <cell r="B246" t="str">
            <v>InventCountingReasonCode</v>
          </cell>
          <cell r="C246" t="str">
            <v>Counting reason codes</v>
          </cell>
          <cell r="D246" t="str">
            <v>Mandatory codes used to explain inventory discrepancies during a count.
Rule: Ensure every counting journal line with a variance has a corresponding ReasonCode assigned.</v>
          </cell>
        </row>
        <row r="247">
          <cell r="B247" t="str">
            <v>InventTestInstrument</v>
          </cell>
          <cell r="C247" t="str">
            <v>Test instruments</v>
          </cell>
          <cell r="D247" t="str">
            <v>Tracks the physical tools (e.g., thermometers, scales) used to perform quality tests.
Rule: Ensure the instrument’s Precision is higher than the TestVariable tolerance it is measuring.</v>
          </cell>
        </row>
        <row r="248">
          <cell r="B248" t="str">
            <v>InventTestTable</v>
          </cell>
          <cell r="C248" t="str">
            <v>Tests</v>
          </cell>
          <cell r="D248" t="str">
            <v>Definition of the specific test (e.g., "Check Humidity").
Rule: Ensure a TestType (Option, Fraction, etc.) is defined.</v>
          </cell>
        </row>
        <row r="249">
          <cell r="B249" t="str">
            <v>InventTestVariable</v>
          </cell>
          <cell r="C249" t="str">
            <v>Test variables</v>
          </cell>
          <cell r="D249" t="str">
            <v>Outcomes for tests (e.g., Pass/Fail, Red/Blue).
Rule: Link to InventTestVariableOutcome to ensure valid choices exist.</v>
          </cell>
        </row>
        <row r="250">
          <cell r="B250" t="str">
            <v>InventTestGroup</v>
          </cell>
          <cell r="C250" t="str">
            <v>Test groups</v>
          </cell>
          <cell r="D250" t="str">
            <v>Groups multiple tests into a single "Inspection" plan.
Rule: Check if a group exists without any assigned tests in InventTestGroupMember.</v>
          </cell>
        </row>
        <row r="251">
          <cell r="B251" t="str">
            <v>InventTestAssociationTable</v>
          </cell>
          <cell r="C251" t="str">
            <v>Quality associations</v>
          </cell>
          <cell r="D251" t="str">
            <v>The "Trigger" rule (e.g., "Test all items from Vendor X").
Rule: Check for overlapping associations that might trigger duplicate quality orders.</v>
          </cell>
        </row>
        <row r="252">
          <cell r="B252" t="str">
            <v>InventTestQualityGroup</v>
          </cell>
          <cell r="C252" t="str">
            <v>Quality groups</v>
          </cell>
          <cell r="D252" t="str">
            <v>Groups items that share the same quality requirements.
Rule: Ensure items in this group are actually assigned to an InventTestAssociationTable.</v>
          </cell>
        </row>
        <row r="253">
          <cell r="B253" t="str">
            <v>InventTestItemQualityGroup</v>
          </cell>
          <cell r="C253" t="str">
            <v>Item quality groups</v>
          </cell>
          <cell r="D253" t="str">
            <v>The master definition of a specific quality test (e.g., pH Level or Visual Inspection). 
Rule: Every test must be linked to a valid TestType (Fraction, Option, or Quantity) to ensure results can be calculated.</v>
          </cell>
        </row>
        <row r="254">
          <cell r="B254" t="str">
            <v>InventItemSampling</v>
          </cell>
          <cell r="C254" t="str">
            <v>Item sampling</v>
          </cell>
          <cell r="D254" t="str">
            <v>Defines how much to test (e.g., 10% of the load).
Rule: If set to 'Fixed', quantity must be $&gt; 0$.</v>
          </cell>
        </row>
        <row r="255">
          <cell r="B255" t="str">
            <v>InventTestMiscCharges</v>
          </cell>
          <cell r="C255" t="str">
            <v>Quality charges</v>
          </cell>
          <cell r="D255" t="str">
            <v>Extra costs associated with quality testing (e.g., laboratory fees).
Rule: Check that the MarkupCode exists and is linked to the correct ledger account for testing expenses.</v>
          </cell>
        </row>
        <row r="256">
          <cell r="B256" t="str">
            <v>InventPackagingGroup</v>
          </cell>
          <cell r="C256" t="str">
            <v>Packing groups</v>
          </cell>
          <cell r="D256" t="str">
            <v>Categorizes products by their packaging type (e.g., Plastic, Wood) for tax reporting.</v>
          </cell>
        </row>
        <row r="257">
          <cell r="B257" t="str">
            <v>InventPackagingMaterialCode</v>
          </cell>
          <cell r="C257" t="str">
            <v>Packing material code</v>
          </cell>
          <cell r="D257" t="str">
            <v>The specific material definition used for a package (e.g., High-Density Polyethylene).
Rule: Ensure the UnitOfMeasure matches the standard inventory unit of the item.</v>
          </cell>
        </row>
        <row r="258">
          <cell r="B258" t="str">
            <v>InventPackagingMaterialFee</v>
          </cell>
          <cell r="C258" t="str">
            <v>Packing material fee</v>
          </cell>
          <cell r="D258" t="str">
            <v>Tax/Fee setup for environmental packaging (e.g., Plastic Tax).
Rule: Check for valid date ranges; fees often change annually.</v>
          </cell>
        </row>
        <row r="259">
          <cell r="B259" t="str">
            <v>ForecastModel</v>
          </cell>
          <cell r="C259" t="str">
            <v>Forecast models</v>
          </cell>
          <cell r="D259" t="str">
            <v>The "Budget" or "Forecast" bucket name.
Rule: Ensure the Stopped flag is No if active imports are expected.</v>
          </cell>
        </row>
        <row r="260">
          <cell r="B260" t="str">
            <v>ForecastItemAllocation</v>
          </cell>
          <cell r="C260" t="str">
            <v>Item allocation keys</v>
          </cell>
          <cell r="D260" t="str">
            <v>Distributes a total forecast quantity across a specific group of items.
Rule: The sum of all AllocationPercentages in a group must equal exactly 100%.</v>
          </cell>
        </row>
        <row r="261">
          <cell r="B261" t="str">
            <v>LedgerAllocateKey</v>
          </cell>
          <cell r="C261" t="str">
            <v>Period allocation key</v>
          </cell>
          <cell r="D261" t="str">
            <v>Rules for distributing financial amounts across different dimensions (e.g., splitting a utility bill across Departments).
Rule: Check for inactive MainAccounts or FinancialDimensions within the allocation lines.</v>
          </cell>
        </row>
        <row r="262">
          <cell r="B262" t="str">
            <v>PdsComdPricingTemplate</v>
          </cell>
          <cell r="C262" t="str">
            <v>Commodity pricing template</v>
          </cell>
          <cell r="D262" t="str">
            <v>Templates for pricing goods based on market commodities (e.g., pricing chocolate based on the price of Cocoa).
Rule: Verify the template is linked to an active CommodityCode and has a valid CalculationDate.</v>
          </cell>
        </row>
        <row r="263">
          <cell r="B263" t="str">
            <v>PdsDispositionMaster</v>
          </cell>
          <cell r="C263" t="str">
            <v>Batch disposition master</v>
          </cell>
          <cell r="D263" t="str">
            <v>Defines what happens to returned/failed batches (e.g., Scrap, Rework).
Rule: Ensure the InventoryStatus linked to the disposition is valid.</v>
          </cell>
        </row>
        <row r="264">
          <cell r="B264" t="str">
            <v>PdsBatchAttrib</v>
          </cell>
          <cell r="C264" t="str">
            <v>Batch attributes</v>
          </cell>
          <cell r="D264" t="str">
            <v>Defines characteristics for batches (e.g., Potency, Color, Age).
Rule: Attribute values must fall within the Minimum and Maximum range defined here.</v>
          </cell>
        </row>
        <row r="265">
          <cell r="B265" t="str">
            <v>PdsBatchAttribGroup</v>
          </cell>
          <cell r="C265" t="str">
            <v>Batch attribute groups</v>
          </cell>
          <cell r="D265" t="str">
            <v>A collection of batch characteristics (e.g., a "Chemical" group containing pH, Purity, and Color).</v>
          </cell>
        </row>
        <row r="266">
          <cell r="B266" t="str">
            <v>TMSCarrier</v>
          </cell>
          <cell r="C266" t="str">
            <v>Carrier</v>
          </cell>
          <cell r="D266" t="str">
            <v>Shipping carriers (FedEx, UPS, etc.) used in Transportation.
Rule: Verify the VendorAccount is linked so freight bills can be paid.</v>
          </cell>
        </row>
      </sheetData>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66"/>
  <sheetViews>
    <sheetView tabSelected="1" topLeftCell="A258" workbookViewId="0">
      <selection activeCell="C269" sqref="C269"/>
    </sheetView>
  </sheetViews>
  <sheetFormatPr defaultColWidth="38.4416666666667" defaultRowHeight="14" outlineLevelCol="4"/>
  <cols>
    <col min="3" max="3" width="54.5583333333333" customWidth="1"/>
  </cols>
  <sheetData>
    <row r="1" ht="14.75" spans="1:5">
      <c r="A1" s="1" t="s">
        <v>0</v>
      </c>
      <c r="B1" s="1" t="s">
        <v>1</v>
      </c>
      <c r="C1" s="1" t="s">
        <v>2</v>
      </c>
      <c r="D1" s="2" t="s">
        <v>3</v>
      </c>
    </row>
    <row r="2" ht="14.75" spans="1:5">
      <c r="A2" s="3" t="s">
        <v>4</v>
      </c>
      <c r="B2" s="4" t="s">
        <v>5</v>
      </c>
      <c r="C2" s="3" t="str">
        <f>VLOOKUP(A2,[1]KnowledgeBase!$B:$D,3,FALSE)</f>
        <v>Defines the depreciation method and life of an asset.</v>
      </c>
      <c r="D2" s="3" t="s">
        <v>6</v>
      </c>
      <c r="E2" s="5"/>
    </row>
    <row r="3" ht="14.75" spans="1:5">
      <c r="A3" s="3" t="s">
        <v>7</v>
      </c>
      <c r="B3" s="4" t="s">
        <v>8</v>
      </c>
      <c r="C3" s="3" t="str">
        <f>VLOOKUP(A3,[1]KnowledgeBase!$B:$D,3,FALSE)</f>
        <v>Categorizes assets for GL posting.</v>
      </c>
      <c r="D3" s="3" t="s">
        <v>6</v>
      </c>
      <c r="E3" s="5"/>
    </row>
    <row r="4" spans="1:5">
      <c r="A4" s="3" t="s">
        <v>9</v>
      </c>
      <c r="B4" s="4" t="s">
        <v>10</v>
      </c>
      <c r="C4" s="3" t="str">
        <f>VLOOKUP(A4,[1]KnowledgeBase!$B:$D,3,FALSE)</f>
        <v>Master list of assets (Vehicles, Buildings, Laptops).</v>
      </c>
      <c r="D4" s="3" t="s">
        <v>6</v>
      </c>
      <c r="E4" s="5"/>
    </row>
    <row r="5" spans="1:5">
      <c r="A5" s="3" t="s">
        <v>11</v>
      </c>
      <c r="B5" s="4" t="s">
        <v>12</v>
      </c>
      <c r="C5" s="3" t="str">
        <f>VLOOKUP(A5,[1]KnowledgeBase!$B:$D,3,FALSE)</f>
        <v>Acquisitions, Depreciation, and Disposals.</v>
      </c>
      <c r="D5" s="3" t="s">
        <v>6</v>
      </c>
      <c r="E5" s="5"/>
    </row>
    <row r="6" spans="1:5">
      <c r="A6" s="3" t="s">
        <v>13</v>
      </c>
      <c r="B6" s="4" t="s">
        <v>14</v>
      </c>
      <c r="C6" s="3" t="str">
        <f>VLOOKUP(A6,[1]KnowledgeBase!$B:$D,3,FALSE)</f>
        <v>The company's own bank accounts used for reconciliation.</v>
      </c>
      <c r="D6" s="3" t="s">
        <v>15</v>
      </c>
      <c r="E6" s="5"/>
    </row>
    <row r="7" spans="1:5">
      <c r="A7" s="3" t="s">
        <v>16</v>
      </c>
      <c r="B7" s="4" t="s">
        <v>17</v>
      </c>
      <c r="C7" s="3" t="str">
        <f>VLOOKUP(A7,[1]KnowledgeBase!$B:$D,3,FALSE)</f>
        <v>The ledger of every "hit" to the company's bank account.</v>
      </c>
      <c r="D7" s="3" t="s">
        <v>15</v>
      </c>
      <c r="E7" s="5"/>
    </row>
    <row r="8" spans="1:5">
      <c r="A8" s="3" t="s">
        <v>18</v>
      </c>
      <c r="B8" s="4" t="s">
        <v>19</v>
      </c>
      <c r="C8" s="3" t="str">
        <f>VLOOKUP(A8,[1]KnowledgeBase!$B:$D,3,FALSE)</f>
        <v>Components/Ingredients within a recipe.</v>
      </c>
      <c r="D8" s="3" t="s">
        <v>20</v>
      </c>
      <c r="E8" s="5"/>
    </row>
    <row r="9" spans="1:5">
      <c r="A9" s="3" t="s">
        <v>21</v>
      </c>
      <c r="B9" s="4" t="s">
        <v>22</v>
      </c>
      <c r="C9" s="3" t="str">
        <f>VLOOKUP(A9,[1]KnowledgeBase!$B:$D,3,FALSE)</f>
        <v>The "Recipe" for a manufactured item.</v>
      </c>
      <c r="D9" s="3" t="s">
        <v>20</v>
      </c>
      <c r="E9" s="5"/>
    </row>
    <row r="10" spans="1:5">
      <c r="A10" s="3" t="s">
        <v>23</v>
      </c>
      <c r="B10" s="4" t="s">
        <v>24</v>
      </c>
      <c r="C10" s="3" t="str">
        <f>VLOOKUP(A10,[1]KnowledgeBase!$B:$D,3,FALSE)</f>
        <v>Links a BOM recipe to a specific item and date range.</v>
      </c>
      <c r="D10" s="3" t="s">
        <v>20</v>
      </c>
      <c r="E10" s="5"/>
    </row>
    <row r="11" spans="1:5">
      <c r="A11" s="3" t="s">
        <v>25</v>
      </c>
      <c r="B11" s="4" t="s">
        <v>26</v>
      </c>
      <c r="C11" s="3" t="str">
        <f>VLOOKUP(A11,[1]KnowledgeBase!$B:$D,3,FALSE)</f>
        <v>Metadata for each company/legal entity in the system.</v>
      </c>
      <c r="D11" s="3" t="s">
        <v>27</v>
      </c>
      <c r="E11" s="5"/>
    </row>
    <row r="12" spans="1:5">
      <c r="A12" s="3" t="s">
        <v>28</v>
      </c>
      <c r="B12" s="4" t="s">
        <v>29</v>
      </c>
      <c r="C12" s="3" t="str">
        <f>VLOOKUP(A12,[1]KnowledgeBase!$B:$D,3,FALSE)</f>
        <v>Master list of ISO currency codes (USD, EUR).</v>
      </c>
      <c r="D12" s="3" t="s">
        <v>30</v>
      </c>
      <c r="E12" s="5"/>
    </row>
    <row r="13" spans="1:5">
      <c r="A13" s="3" t="s">
        <v>31</v>
      </c>
      <c r="B13" s="4" t="s">
        <v>32</v>
      </c>
      <c r="C13" s="3" t="str">
        <f>VLOOKUP(A13,[1]KnowledgeBase!$B:$D,3,FALSE)</f>
        <v>Banking details for customer refunds or direct debits.</v>
      </c>
      <c r="D13" s="3" t="s">
        <v>33</v>
      </c>
      <c r="E13" s="5"/>
    </row>
    <row r="14" spans="1:5">
      <c r="A14" s="3" t="s">
        <v>34</v>
      </c>
      <c r="B14" s="4" t="s">
        <v>35</v>
      </c>
      <c r="C14" s="3" t="str">
        <f>VLOOKUP(A14,[1]KnowledgeBase!$B:$D,3,FALSE)</f>
        <v>Specific person at the customer company responsible for AP.</v>
      </c>
      <c r="D14" s="3" t="s">
        <v>36</v>
      </c>
      <c r="E14" s="5"/>
    </row>
    <row r="15" spans="1:5">
      <c r="A15" s="3" t="s">
        <v>37</v>
      </c>
      <c r="B15" s="4" t="s">
        <v>38</v>
      </c>
      <c r="C15" s="3" t="str">
        <f>VLOOKUP(A15,[1]KnowledgeBase!$B:$D,3,FALSE)</f>
        <v>Categorizes customers for posting and reporting.</v>
      </c>
      <c r="D15" s="3" t="s">
        <v>33</v>
      </c>
      <c r="E15" s="5"/>
    </row>
    <row r="16" spans="1:5">
      <c r="A16" s="3" t="s">
        <v>39</v>
      </c>
      <c r="B16" s="4" t="s">
        <v>40</v>
      </c>
      <c r="C16" s="3" t="str">
        <f>VLOOKUP(A16,[1]KnowledgeBase!$B:$D,3,FALSE)</f>
        <v>Posted invoice history.</v>
      </c>
      <c r="D16" s="3" t="s">
        <v>33</v>
      </c>
      <c r="E16" s="5"/>
    </row>
    <row r="17" ht="56.75" spans="1:5">
      <c r="A17" s="3" t="s">
        <v>41</v>
      </c>
      <c r="B17" s="4" t="s">
        <v>42</v>
      </c>
      <c r="C17" s="3" t="str">
        <f>VLOOKUP(A17,[1]KnowledgeBase!$B:$D,3,FALSE)</f>
        <v>Detailed lines of posted invoices.
1. For "Actual Sales," the agent should ignore SalesLine and query CustInvoiceTrans. SalesLine includes deleted, cancelled, or quoted orders; CustInvoiceTrans only contains what was actually billed.</v>
      </c>
      <c r="D17" s="3" t="s">
        <v>33</v>
      </c>
      <c r="E17" s="5"/>
    </row>
    <row r="18" spans="1:5">
      <c r="A18" s="3" t="s">
        <v>43</v>
      </c>
      <c r="B18" s="4" t="s">
        <v>44</v>
      </c>
      <c r="C18" s="3" t="str">
        <f>VLOOKUP(A18,[1]KnowledgeBase!$B:$D,3,FALSE)</f>
        <v>Records of goods shipped to customers.</v>
      </c>
      <c r="D18" s="3" t="s">
        <v>33</v>
      </c>
      <c r="E18" s="5"/>
    </row>
    <row r="19" spans="1:5">
      <c r="A19" s="3" t="s">
        <v>45</v>
      </c>
      <c r="B19" s="4" t="s">
        <v>46</v>
      </c>
      <c r="C19" s="3" t="str">
        <f>VLOOKUP(A19,[1]KnowledgeBase!$B:$D,3,FALSE)</f>
        <v>Specific items shipped.</v>
      </c>
      <c r="D19" s="3" t="s">
        <v>33</v>
      </c>
      <c r="E19" s="5"/>
    </row>
    <row r="20" spans="1:5">
      <c r="A20" s="3" t="s">
        <v>47</v>
      </c>
      <c r="B20" s="4" t="s">
        <v>48</v>
      </c>
      <c r="C20" s="3" t="str">
        <f>VLOOKUP(A20,[1]KnowledgeBase!$B:$D,3,FALSE)</f>
        <v>Terms like Check, Wire, or Credit Card.</v>
      </c>
      <c r="D20" s="3" t="s">
        <v>33</v>
      </c>
      <c r="E20" s="5"/>
    </row>
    <row r="21" spans="1:5">
      <c r="A21" s="3" t="s">
        <v>49</v>
      </c>
      <c r="B21" s="4" t="s">
        <v>50</v>
      </c>
      <c r="C21" s="3" t="str">
        <f>VLOOKUP(A21,[1]KnowledgeBase!$B:$D,3,FALSE)</f>
        <v>Links a payment to the invoice it paid off.</v>
      </c>
      <c r="D21" s="3" t="s">
        <v>33</v>
      </c>
      <c r="E21" s="5"/>
    </row>
    <row r="22" spans="1:5">
      <c r="A22" s="3" t="s">
        <v>51</v>
      </c>
      <c r="B22" s="4" t="s">
        <v>52</v>
      </c>
      <c r="C22" s="3" t="str">
        <f>VLOOKUP(A22,[1]KnowledgeBase!$B:$D,3,FALSE)</f>
        <v>Master record of customers</v>
      </c>
      <c r="D22" s="3" t="s">
        <v>33</v>
      </c>
      <c r="E22" s="5"/>
    </row>
    <row r="23" spans="1:5">
      <c r="A23" s="3" t="s">
        <v>53</v>
      </c>
      <c r="B23" s="4" t="s">
        <v>54</v>
      </c>
      <c r="C23" s="3" t="str">
        <f>VLOOKUP(A23,[1]KnowledgeBase!$B:$D,3,FALSE)</f>
        <v>Open and closed customer invoices and payments.</v>
      </c>
      <c r="D23" s="3" t="s">
        <v>33</v>
      </c>
      <c r="E23" s="5"/>
    </row>
    <row r="24" spans="1:5">
      <c r="A24" s="3" t="s">
        <v>55</v>
      </c>
      <c r="B24" s="4" t="s">
        <v>56</v>
      </c>
      <c r="C24" s="3" t="str">
        <f>VLOOKUP(A24,[1]KnowledgeBase!$B:$D,3,FALSE)</f>
        <v>Specifically for unpaid customer invoices (Aging).</v>
      </c>
      <c r="D24" s="3" t="s">
        <v>33</v>
      </c>
      <c r="E24" s="5"/>
    </row>
    <row r="25" spans="1:5">
      <c r="A25" s="3" t="s">
        <v>57</v>
      </c>
      <c r="B25" s="4" t="s">
        <v>58</v>
      </c>
      <c r="C25" s="3" t="str">
        <f>VLOOKUP(A25,[1]KnowledgeBase!$B:$D,3,FALSE)</f>
        <v>Defines what dimensions exist (Department, Project, etc.).</v>
      </c>
      <c r="D25" s="3" t="s">
        <v>30</v>
      </c>
      <c r="E25" s="5"/>
    </row>
    <row r="26" spans="1:5">
      <c r="A26" s="3" t="s">
        <v>59</v>
      </c>
      <c r="B26" s="4" t="s">
        <v>60</v>
      </c>
      <c r="C26" s="3" t="str">
        <f>VLOOKUP(A26,[1]KnowledgeBase!$B:$D,3,FALSE)</f>
        <v>Specific values (e.g., Dept "100" or Cost Center "Marketing").</v>
      </c>
      <c r="D26" s="3" t="s">
        <v>30</v>
      </c>
      <c r="E26" s="5"/>
    </row>
    <row r="27" spans="1:5">
      <c r="A27" s="3" t="s">
        <v>61</v>
      </c>
      <c r="B27" s="4" t="s">
        <v>62</v>
      </c>
      <c r="C27" s="3" t="str">
        <f>VLOOKUP(A27,[1]KnowledgeBase!$B:$D,3,FALSE)</f>
        <v>A unique combination of dimensions used on a transaction.</v>
      </c>
      <c r="D27" s="3" t="s">
        <v>30</v>
      </c>
      <c r="E27" s="5"/>
    </row>
    <row r="28" spans="1:5">
      <c r="A28" s="3" t="s">
        <v>63</v>
      </c>
      <c r="B28" s="4" t="s">
        <v>64</v>
      </c>
      <c r="C28" s="3" t="str">
        <f>VLOOKUP(A28,[1]KnowledgeBase!$B:$D,3,FALSE)</f>
        <v>Sub-type of DirPartyTable specifically for entities.</v>
      </c>
      <c r="D28" s="3" t="s">
        <v>27</v>
      </c>
      <c r="E28" s="5"/>
    </row>
    <row r="29" spans="1:5">
      <c r="A29" s="3" t="s">
        <v>65</v>
      </c>
      <c r="B29" s="4" t="s">
        <v>66</v>
      </c>
      <c r="C29" s="3" t="str">
        <f>VLOOKUP(A29,[1]KnowledgeBase!$B:$D,3,FALSE)</f>
        <v>Links a party to specific locations (like Headquarters or Branch).</v>
      </c>
      <c r="D29" s="3" t="s">
        <v>27</v>
      </c>
      <c r="E29" s="5"/>
    </row>
    <row r="30" spans="1:5">
      <c r="A30" s="3" t="s">
        <v>67</v>
      </c>
      <c r="B30" s="4" t="s">
        <v>68</v>
      </c>
      <c r="C30" s="3" t="str">
        <f>VLOOKUP(A30,[1]KnowledgeBase!$B:$D,3,FALSE)</f>
        <v>Central registry for all people and organizations.</v>
      </c>
      <c r="D30" s="3" t="s">
        <v>27</v>
      </c>
      <c r="E30" s="5"/>
    </row>
    <row r="31" spans="1:5">
      <c r="A31" s="3" t="s">
        <v>69</v>
      </c>
      <c r="B31" s="4" t="s">
        <v>70</v>
      </c>
      <c r="C31" s="3" t="str">
        <f>VLOOKUP(A31,[1]KnowledgeBase!$B:$D,3,FALSE)</f>
        <v>Sub-type of DirPartyTable for individual human beings.</v>
      </c>
      <c r="D31" s="3" t="s">
        <v>27</v>
      </c>
      <c r="E31" s="5"/>
    </row>
    <row r="32" spans="1:5">
      <c r="A32" s="3" t="s">
        <v>71</v>
      </c>
      <c r="B32" s="4" t="s">
        <v>72</v>
      </c>
      <c r="C32" s="3" t="str">
        <f>VLOOKUP(A32,[1]KnowledgeBase!$B:$D,3,FALSE)</f>
        <v>Historical tracking of name changes for individuals.</v>
      </c>
      <c r="D32" s="3" t="s">
        <v>27</v>
      </c>
      <c r="E32" s="5"/>
    </row>
    <row r="33" spans="1:5">
      <c r="A33" s="3" t="s">
        <v>73</v>
      </c>
      <c r="B33" s="4" t="s">
        <v>74</v>
      </c>
      <c r="C33" s="3" t="str">
        <f>VLOOKUP(A33,[1]KnowledgeBase!$B:$D,3,FALSE)</f>
        <v>Global product definition across all entities.</v>
      </c>
      <c r="D33" s="3" t="s">
        <v>75</v>
      </c>
      <c r="E33" s="5"/>
    </row>
    <row r="34" spans="1:5">
      <c r="A34" s="3" t="s">
        <v>76</v>
      </c>
      <c r="B34" s="4" t="s">
        <v>77</v>
      </c>
      <c r="C34" s="3" t="str">
        <f>VLOOKUP(A34,[1]KnowledgeBase!$B:$D,3,FALSE)</f>
        <v>Currency conversion rates by date.</v>
      </c>
      <c r="D34" s="3" t="s">
        <v>30</v>
      </c>
      <c r="E34" s="5"/>
    </row>
    <row r="35" spans="1:5">
      <c r="A35" s="3" t="s">
        <v>78</v>
      </c>
      <c r="B35" s="4" t="s">
        <v>79</v>
      </c>
      <c r="C35" s="3" t="str">
        <f>VLOOKUP(A35,[1]KnowledgeBase!$B:$D,3,FALSE)</f>
        <v>Defines years and periods (Months/Quarters).</v>
      </c>
      <c r="D35" s="3" t="s">
        <v>30</v>
      </c>
      <c r="E35" s="5"/>
    </row>
    <row r="36" spans="1:5">
      <c r="A36" s="3" t="s">
        <v>80</v>
      </c>
      <c r="B36" s="4" t="s">
        <v>81</v>
      </c>
      <c r="C36" s="3" t="str">
        <f>VLOOKUP(A36,[1]KnowledgeBase!$B:$D,3,FALSE)</f>
        <v>Specific start/end dates for fiscal periods.</v>
      </c>
      <c r="D36" s="3" t="s">
        <v>30</v>
      </c>
      <c r="E36" s="5"/>
    </row>
    <row r="37" spans="1:5">
      <c r="A37" s="3" t="s">
        <v>82</v>
      </c>
      <c r="B37" s="4" t="s">
        <v>83</v>
      </c>
      <c r="C37" s="3" t="str">
        <f>VLOOKUP(A37,[1]KnowledgeBase!$B:$D,3,FALSE)</f>
        <v>The most important table for P&amp;L and Balance Sheet data.</v>
      </c>
      <c r="D37" s="3" t="s">
        <v>30</v>
      </c>
      <c r="E37" s="5"/>
    </row>
    <row r="38" spans="1:5">
      <c r="A38" s="3" t="s">
        <v>84</v>
      </c>
      <c r="B38" s="4" t="s">
        <v>85</v>
      </c>
      <c r="C38" s="3" t="str">
        <f>VLOOKUP(A38,[1]KnowledgeBase!$B:$D,3,FALSE)</f>
        <v>The header for every posted transaction in the General Ledger.</v>
      </c>
      <c r="D38" s="3" t="s">
        <v>30</v>
      </c>
      <c r="E38" s="5"/>
    </row>
    <row r="39" spans="1:5">
      <c r="A39" s="3" t="s">
        <v>86</v>
      </c>
      <c r="B39" s="4" t="s">
        <v>87</v>
      </c>
      <c r="C39" s="3" t="str">
        <f>VLOOKUP(A39,[1]KnowledgeBase!$B:$D,3,FALSE)</f>
        <v>Defines the "Mirror" relationship between two legal entities.</v>
      </c>
      <c r="D39" s="3" t="s">
        <v>88</v>
      </c>
      <c r="E39" s="5"/>
    </row>
    <row r="40" spans="1:5">
      <c r="A40" s="3" t="s">
        <v>89</v>
      </c>
      <c r="B40" s="4" t="s">
        <v>90</v>
      </c>
      <c r="C40" s="3" t="str">
        <f>VLOOKUP(A40,[1]KnowledgeBase!$B:$D,3,FALSE)</f>
        <v>Tracking items by batch/lot number.</v>
      </c>
      <c r="D40" s="3" t="s">
        <v>75</v>
      </c>
      <c r="E40" s="5"/>
    </row>
    <row r="41" spans="1:5">
      <c r="A41" s="3" t="s">
        <v>91</v>
      </c>
      <c r="B41" s="4" t="s">
        <v>92</v>
      </c>
      <c r="C41" s="3" t="str">
        <f>VLOOKUP(A41,[1]KnowledgeBase!$B:$D,3,FALSE)</f>
        <v>Groups items so they appear in specific procurement filters.</v>
      </c>
      <c r="D41" s="3" t="s">
        <v>75</v>
      </c>
      <c r="E41" s="5"/>
    </row>
    <row r="42" ht="112.75" spans="1:5">
      <c r="A42" s="3" t="s">
        <v>93</v>
      </c>
      <c r="B42" s="4" t="s">
        <v>94</v>
      </c>
      <c r="C42" s="3" t="str">
        <f>VLOOKUP(A42,[1]KnowledgeBase!$B:$D,3,FALSE)</f>
        <v>Combination of Site, Warehouse, Batch, and Serial.
Rules:
1. This table is linked to almost every transaction (SalesLine, PurchLine, InventTrans, etc.) via the InventDimId.
2. If the InventTable has a Tracking Dimension Group set to "Serial Number: Active," the SalesLine or PurchLine cannot be posted unless the InventDimId points to a record in the InventDim table that contains a Serial Number.</v>
      </c>
      <c r="D42" s="3" t="s">
        <v>75</v>
      </c>
      <c r="E42" s="5"/>
    </row>
    <row r="43" spans="1:5">
      <c r="A43" s="3" t="s">
        <v>95</v>
      </c>
      <c r="B43" s="4" t="s">
        <v>96</v>
      </c>
      <c r="C43" s="3" t="str">
        <f>VLOOKUP(A43,[1]KnowledgeBase!$B:$D,3,FALSE)</f>
        <v>The unique ID for a "Red, Large, Cotton" version of a shirt.</v>
      </c>
      <c r="D43" s="3" t="s">
        <v>75</v>
      </c>
      <c r="E43" s="5"/>
    </row>
    <row r="44" spans="1:5">
      <c r="A44" s="3" t="s">
        <v>97</v>
      </c>
      <c r="B44" s="4" t="s">
        <v>98</v>
      </c>
      <c r="C44" s="3" t="str">
        <f>VLOOKUP(A44,[1]KnowledgeBase!$B:$D,3,FALSE)</f>
        <v>Controls inventory posting to the General Ledger.</v>
      </c>
      <c r="D44" s="3" t="s">
        <v>75</v>
      </c>
      <c r="E44" s="5"/>
    </row>
    <row r="45" spans="1:5">
      <c r="A45" s="3" t="s">
        <v>99</v>
      </c>
      <c r="B45" s="4" t="s">
        <v>100</v>
      </c>
      <c r="C45" s="3" t="str">
        <f>VLOOKUP(A45,[1]KnowledgeBase!$B:$D,3,FALSE)</f>
        <v>Links an item to its financial posting group (COGS/Revenue).</v>
      </c>
      <c r="D45" s="3" t="s">
        <v>75</v>
      </c>
      <c r="E45" s="5"/>
    </row>
    <row r="46" spans="1:5">
      <c r="A46" s="3" t="s">
        <v>101</v>
      </c>
      <c r="B46" s="4" t="s">
        <v>102</v>
      </c>
      <c r="C46" s="3" t="str">
        <f>VLOOKUP(A46,[1]KnowledgeBase!$B:$D,3,FALSE)</f>
        <v>Default picking/packing locations for a specific item.</v>
      </c>
      <c r="D46" s="3" t="s">
        <v>75</v>
      </c>
      <c r="E46" s="5"/>
    </row>
    <row r="47" spans="1:5">
      <c r="A47" s="3" t="s">
        <v>103</v>
      </c>
      <c r="B47" s="4" t="s">
        <v>104</v>
      </c>
      <c r="C47" s="3" t="str">
        <f>VLOOKUP(A47,[1]KnowledgeBase!$B:$D,3,FALSE)</f>
        <v>Standard or planned costs for items.</v>
      </c>
      <c r="D47" s="3" t="s">
        <v>75</v>
      </c>
      <c r="E47" s="5"/>
    </row>
    <row r="48" spans="1:5">
      <c r="A48" s="3" t="s">
        <v>105</v>
      </c>
      <c r="B48" s="4" t="s">
        <v>106</v>
      </c>
      <c r="C48" s="3" t="str">
        <f>VLOOKUP(A48,[1]KnowledgeBase!$B:$D,3,FALSE)</f>
        <v>Header for stock counts, transfers, or adjustments.</v>
      </c>
      <c r="D48" s="3" t="s">
        <v>75</v>
      </c>
      <c r="E48" s="5"/>
    </row>
    <row r="49" spans="1:5">
      <c r="A49" s="3" t="s">
        <v>107</v>
      </c>
      <c r="B49" s="4" t="s">
        <v>108</v>
      </c>
      <c r="C49" s="3" t="str">
        <f>VLOOKUP(A49,[1]KnowledgeBase!$B:$D,3,FALSE)</f>
        <v>Lines for stock movements or adjustments.</v>
      </c>
      <c r="D49" s="3" t="s">
        <v>75</v>
      </c>
      <c r="E49" s="5"/>
    </row>
    <row r="50" spans="1:5">
      <c r="A50" s="3" t="s">
        <v>109</v>
      </c>
      <c r="B50" s="4" t="s">
        <v>110</v>
      </c>
      <c r="C50" s="3" t="str">
        <f>VLOOKUP(A50,[1]KnowledgeBase!$B:$D,3,FALSE)</f>
        <v>Master list of warehouses.</v>
      </c>
      <c r="D50" s="3" t="s">
        <v>75</v>
      </c>
      <c r="E50" s="5"/>
    </row>
    <row r="51" spans="1:5">
      <c r="A51" s="3" t="s">
        <v>111</v>
      </c>
      <c r="B51" s="4" t="s">
        <v>112</v>
      </c>
      <c r="C51" s="3" t="str">
        <f>VLOOKUP(A51,[1]KnowledgeBase!$B:$D,3,FALSE)</f>
        <v>Defines FIFO, LIFO, or Standard Costing logic.</v>
      </c>
      <c r="D51" s="3" t="s">
        <v>75</v>
      </c>
      <c r="E51" s="5"/>
    </row>
    <row r="52" ht="98.75" spans="1:5">
      <c r="A52" s="3" t="s">
        <v>113</v>
      </c>
      <c r="B52" s="4" t="s">
        <v>114</v>
      </c>
      <c r="C52" s="3" t="str">
        <f>VLOOKUP(A52,[1]KnowledgeBase!$B:$D,3,FALSE)</f>
        <v>The master map of "Item Group + Event" to "GL Account', this is where the money goes.
Rules:
1. When an invoice is posted in CustInvoiceJour, the system looks at the Item Group (from InventTable) and the Customer Group (from CustTable) to find the correct MainAccount in the InventPosting table. Same for vendtable.</v>
      </c>
      <c r="D52" s="3" t="s">
        <v>75</v>
      </c>
      <c r="E52" s="5"/>
    </row>
    <row r="53" spans="1:5">
      <c r="A53" s="3" t="s">
        <v>115</v>
      </c>
      <c r="B53" s="4" t="s">
        <v>116</v>
      </c>
      <c r="C53" s="3" t="str">
        <f>VLOOKUP(A53,[1]KnowledgeBase!$B:$D,3,FALSE)</f>
        <v>Tracks items held for quality inspection before they can be sold.</v>
      </c>
      <c r="D53" s="3" t="s">
        <v>117</v>
      </c>
      <c r="E53" s="5"/>
    </row>
    <row r="54" spans="1:5">
      <c r="A54" s="3" t="s">
        <v>118</v>
      </c>
      <c r="B54" s="4" t="s">
        <v>119</v>
      </c>
      <c r="C54" s="3" t="str">
        <f>VLOOKUP(A54,[1]KnowledgeBase!$B:$D,3,FALSE)</f>
        <v>Tracking unique items by serial number.</v>
      </c>
      <c r="D54" s="3" t="s">
        <v>75</v>
      </c>
      <c r="E54" s="5"/>
    </row>
    <row r="55" spans="1:5">
      <c r="A55" s="3" t="s">
        <v>120</v>
      </c>
      <c r="B55" s="4" t="s">
        <v>121</v>
      </c>
      <c r="C55" s="3" t="str">
        <f>VLOOKUP(A55,[1]KnowledgeBase!$B:$D,3,FALSE)</f>
        <v>Physical or logical sites for inventory grouping.</v>
      </c>
      <c r="D55" s="3" t="s">
        <v>75</v>
      </c>
      <c r="E55" s="5"/>
    </row>
    <row r="56" spans="1:5">
      <c r="A56" s="3" t="s">
        <v>122</v>
      </c>
      <c r="B56" s="4" t="s">
        <v>123</v>
      </c>
      <c r="C56" s="3" t="str">
        <f>VLOOKUP(A56,[1]KnowledgeBase!$B:$D,3,FALSE)</f>
        <v>Current stock levels by warehouse and dimension.</v>
      </c>
      <c r="D56" s="3" t="s">
        <v>75</v>
      </c>
      <c r="E56" s="5"/>
    </row>
    <row r="57" spans="1:5">
      <c r="A57" s="3" t="s">
        <v>124</v>
      </c>
      <c r="B57" s="4" t="s">
        <v>125</v>
      </c>
      <c r="C57" s="3" t="str">
        <f>VLOOKUP(A57,[1]KnowledgeBase!$B:$D,3,FALSE)</f>
        <v>The "Released Product" record for a legal entity.</v>
      </c>
      <c r="D57" s="3" t="s">
        <v>75</v>
      </c>
      <c r="E57" s="5"/>
    </row>
    <row r="58" spans="1:5">
      <c r="A58" s="3" t="s">
        <v>126</v>
      </c>
      <c r="B58" s="4" t="s">
        <v>127</v>
      </c>
      <c r="C58" s="3" t="str">
        <f>VLOOKUP(A58,[1]KnowledgeBase!$B:$D,3,FALSE)</f>
        <v>Sales, Purchase, and Inventory unit/price settings.</v>
      </c>
      <c r="D58" s="3" t="s">
        <v>75</v>
      </c>
      <c r="E58" s="5"/>
    </row>
    <row r="59" spans="1:5">
      <c r="A59" s="3" t="s">
        <v>128</v>
      </c>
      <c r="B59" s="4" t="s">
        <v>129</v>
      </c>
      <c r="C59" s="3" t="str">
        <f>VLOOKUP(A59,[1]KnowledgeBase!$B:$D,3,FALSE)</f>
        <v>Defines which tests are required for a specific item or vendor.</v>
      </c>
      <c r="D59" s="3" t="s">
        <v>117</v>
      </c>
      <c r="E59" s="5"/>
    </row>
    <row r="60" ht="28.75" spans="1:5">
      <c r="A60" s="3" t="s">
        <v>130</v>
      </c>
      <c r="B60" s="4" t="s">
        <v>131</v>
      </c>
      <c r="C60" s="3" t="str">
        <f>VLOOKUP(A60,[1]KnowledgeBase!$B:$D,3,FALSE)</f>
        <v>Record of specific tests performed on items (e.g., pH balance, weight).</v>
      </c>
      <c r="D60" s="3" t="s">
        <v>117</v>
      </c>
      <c r="E60" s="5"/>
    </row>
    <row r="61" spans="1:5">
      <c r="A61" s="3" t="s">
        <v>132</v>
      </c>
      <c r="B61" s="4" t="s">
        <v>133</v>
      </c>
      <c r="C61" s="3" t="str">
        <f>VLOOKUP(A61,[1]KnowledgeBase!$B:$D,3,FALSE)</f>
        <v>Stores the "Pass/Fail" or numeric results of a quality test.</v>
      </c>
      <c r="D61" s="3" t="s">
        <v>117</v>
      </c>
      <c r="E61" s="5"/>
    </row>
    <row r="62" ht="168.75" spans="1:5">
      <c r="A62" s="3" t="s">
        <v>134</v>
      </c>
      <c r="B62" s="4" t="s">
        <v>135</v>
      </c>
      <c r="C62" s="3" t="str">
        <f>VLOOKUP(A62,[1]KnowledgeBase!$B:$D,3,FALSE)</f>
        <v>The "Ledger" of inventory. Tracks every movement.
1. A transaction cannot skip a status (e.g., you cannot go from Ordered to Purchased without the system passing through Received in the background).
2. Compare SalesLine.ShippingDateConfirmed (The Promise) against InventTrans.DatePhysical (The Reality). If the reality is later than the promised date, the record is "Late".
3. InventTransId is the unique DNA for that specific line's journey from order to payment. Never join tables using ItemId alone when transactional accuracy is required. Use InventTransId (the Lot ID) to link Purchase Orders (PurchLine), Product Receipts (VendPurchReceiptLine), and Invoices (PurchInvoiceLine).</v>
      </c>
      <c r="D62" s="3" t="s">
        <v>75</v>
      </c>
      <c r="E62" s="5"/>
    </row>
    <row r="63" spans="1:5">
      <c r="A63" s="3" t="s">
        <v>136</v>
      </c>
      <c r="B63" s="4" t="s">
        <v>137</v>
      </c>
      <c r="C63" s="3" t="str">
        <f>VLOOKUP(A63,[1]KnowledgeBase!$B:$D,3,FALSE)</f>
        <v>Links inventory movements back to the source (Sales/Purch).</v>
      </c>
      <c r="D63" s="3" t="s">
        <v>75</v>
      </c>
      <c r="E63" s="5"/>
    </row>
    <row r="64" spans="1:5">
      <c r="A64" s="3" t="s">
        <v>138</v>
      </c>
      <c r="B64" s="4" t="s">
        <v>138</v>
      </c>
      <c r="C64" s="3" t="str">
        <f>VLOOKUP(A64,[1]KnowledgeBase!$B:$D,3,FALSE)</f>
        <v>Defines the Chart of Accounts and Fiscal Calendar for a company.</v>
      </c>
      <c r="D64" s="3" t="s">
        <v>30</v>
      </c>
      <c r="E64" s="5"/>
    </row>
    <row r="65" spans="1:5">
      <c r="A65" s="3" t="s">
        <v>139</v>
      </c>
      <c r="B65" s="4" t="s">
        <v>140</v>
      </c>
      <c r="C65" s="3" t="str">
        <f>VLOOKUP(A65,[1]KnowledgeBase!$B:$D,3,FALSE)</f>
        <v>Defines the grouping of main accounts.</v>
      </c>
      <c r="D65" s="3" t="s">
        <v>30</v>
      </c>
      <c r="E65" s="5"/>
    </row>
    <row r="66" spans="1:5">
      <c r="A66" s="3" t="s">
        <v>141</v>
      </c>
      <c r="B66" s="4" t="s">
        <v>142</v>
      </c>
      <c r="C66" s="3" t="str">
        <f>VLOOKUP(A66,[1]KnowledgeBase!$B:$D,3,FALSE)</f>
        <v>Holds unposted journals (Daily, Bank, Accrual).</v>
      </c>
      <c r="D66" s="3" t="s">
        <v>30</v>
      </c>
      <c r="E66" s="5"/>
    </row>
    <row r="67" spans="1:5">
      <c r="A67" s="3" t="s">
        <v>143</v>
      </c>
      <c r="B67" s="4" t="s">
        <v>144</v>
      </c>
      <c r="C67" s="3" t="str">
        <f>VLOOKUP(A67,[1]KnowledgeBase!$B:$D,3,FALSE)</f>
        <v>Detailed lines for unposted journals.</v>
      </c>
      <c r="D67" s="3" t="s">
        <v>30</v>
      </c>
      <c r="E67" s="5"/>
    </row>
    <row r="68" spans="1:5">
      <c r="A68" s="3" t="s">
        <v>145</v>
      </c>
      <c r="B68" s="4" t="s">
        <v>146</v>
      </c>
      <c r="C68" s="3" t="str">
        <f>VLOOKUP(A68,[1]KnowledgeBase!$B:$D,3,FALSE)</f>
        <v>Financial lines for buying or selling an asset via a journal.</v>
      </c>
      <c r="D68" s="3" t="s">
        <v>15</v>
      </c>
      <c r="E68" s="5"/>
    </row>
    <row r="69" spans="1:5">
      <c r="A69" s="3" t="s">
        <v>147</v>
      </c>
      <c r="B69" s="4" t="s">
        <v>148</v>
      </c>
      <c r="C69" s="3" t="str">
        <f>VLOOKUP(A69,[1]KnowledgeBase!$B:$D,3,FALSE)</f>
        <v>Master list of cities for address validation.</v>
      </c>
      <c r="D69" s="3" t="s">
        <v>27</v>
      </c>
      <c r="E69" s="5"/>
    </row>
    <row r="70" spans="1:5">
      <c r="A70" s="3" t="s">
        <v>149</v>
      </c>
      <c r="B70" s="4" t="s">
        <v>150</v>
      </c>
      <c r="C70" s="3" t="str">
        <f>VLOOKUP(A70,[1]KnowledgeBase!$B:$D,3,FALSE)</f>
        <v>Global list of country codes and formats.</v>
      </c>
      <c r="D70" s="3" t="s">
        <v>27</v>
      </c>
      <c r="E70" s="5"/>
    </row>
    <row r="71" spans="1:5">
      <c r="A71" s="3" t="s">
        <v>151</v>
      </c>
      <c r="B71" s="4" t="s">
        <v>152</v>
      </c>
      <c r="C71" s="3" t="str">
        <f>VLOOKUP(A71,[1]KnowledgeBase!$B:$D,3,FALSE)</f>
        <v>State/Province codes linked to countries.</v>
      </c>
      <c r="D71" s="3" t="s">
        <v>27</v>
      </c>
      <c r="E71" s="5"/>
    </row>
    <row r="72" spans="1:5">
      <c r="A72" s="3" t="s">
        <v>153</v>
      </c>
      <c r="B72" s="4" t="s">
        <v>154</v>
      </c>
      <c r="C72" s="3" t="str">
        <f>VLOOKUP(A72,[1]KnowledgeBase!$B:$D,3,FALSE)</f>
        <v>Emails, phone numbers, and URLs for parties.</v>
      </c>
      <c r="D72" s="3" t="s">
        <v>27</v>
      </c>
      <c r="E72" s="5"/>
    </row>
    <row r="73" spans="1:5">
      <c r="A73" s="3" t="s">
        <v>155</v>
      </c>
      <c r="B73" s="4" t="s">
        <v>156</v>
      </c>
      <c r="C73" s="3" t="str">
        <f>VLOOKUP(A73,[1]KnowledgeBase!$B:$D,3,FALSE)</f>
        <v>Stores the actual location ID and description.</v>
      </c>
      <c r="D73" s="3" t="s">
        <v>27</v>
      </c>
      <c r="E73" s="5"/>
    </row>
    <row r="74" spans="1:5">
      <c r="A74" s="3" t="s">
        <v>157</v>
      </c>
      <c r="B74" s="4" t="s">
        <v>158</v>
      </c>
      <c r="C74" s="3" t="str">
        <f>VLOOKUP(A74,[1]KnowledgeBase!$B:$D,3,FALSE)</f>
        <v>Detailed street addresses, zip codes, and countries.</v>
      </c>
      <c r="D74" s="3" t="s">
        <v>27</v>
      </c>
      <c r="E74" s="5"/>
    </row>
    <row r="75" spans="1:5">
      <c r="A75" s="3" t="s">
        <v>159</v>
      </c>
      <c r="B75" s="4" t="s">
        <v>160</v>
      </c>
      <c r="C75" s="3" t="str">
        <f>VLOOKUP(A75,[1]KnowledgeBase!$B:$D,3,FALSE)</f>
        <v>The Chart of Accounts (Cash, Revenue, Expense accounts).</v>
      </c>
      <c r="D75" s="3" t="s">
        <v>30</v>
      </c>
      <c r="E75" s="5"/>
    </row>
    <row r="76" spans="1:5">
      <c r="A76" s="3" t="s">
        <v>161</v>
      </c>
      <c r="B76" s="4" t="s">
        <v>162</v>
      </c>
      <c r="C76" s="3" t="str">
        <f>VLOOKUP(A76,[1]KnowledgeBase!$B:$D,3,FALSE)</f>
        <v>Defines types of organizational structures.</v>
      </c>
      <c r="D76" s="3" t="s">
        <v>27</v>
      </c>
      <c r="E76" s="5"/>
    </row>
    <row r="77" spans="1:5">
      <c r="A77" s="3" t="s">
        <v>163</v>
      </c>
      <c r="B77" s="4" t="s">
        <v>164</v>
      </c>
      <c r="C77" s="3" t="str">
        <f>VLOOKUP(A77,[1]KnowledgeBase!$B:$D,3,FALSE)</f>
        <v>Stores Departments, Cost Centers, and Business Units.</v>
      </c>
      <c r="D77" s="3" t="s">
        <v>27</v>
      </c>
      <c r="E77" s="5"/>
    </row>
    <row r="78" spans="1:5">
      <c r="A78" s="3" t="s">
        <v>165</v>
      </c>
      <c r="B78" s="4" t="s">
        <v>166</v>
      </c>
      <c r="C78" s="3" t="str">
        <f>VLOOKUP(A78,[1]KnowledgeBase!$B:$D,3,FALSE)</f>
        <v>Specific sales/purchase prices and discounts.</v>
      </c>
      <c r="D78" s="3" t="s">
        <v>167</v>
      </c>
      <c r="E78" s="5"/>
    </row>
    <row r="79" spans="1:5">
      <c r="A79" s="3" t="s">
        <v>168</v>
      </c>
      <c r="B79" s="4" t="s">
        <v>169</v>
      </c>
      <c r="C79" s="3" t="str">
        <f>VLOOKUP(A79,[1]KnowledgeBase!$B:$D,3,FALSE)</f>
        <v>Detailed breakdown of estimated vs actual costs.</v>
      </c>
      <c r="D79" s="3" t="s">
        <v>20</v>
      </c>
      <c r="E79" s="5"/>
    </row>
    <row r="80" spans="1:5">
      <c r="A80" s="3" t="s">
        <v>170</v>
      </c>
      <c r="B80" s="4" t="s">
        <v>171</v>
      </c>
      <c r="C80" s="3" t="str">
        <f>VLOOKUP(A80,[1]KnowledgeBase!$B:$D,3,FALSE)</f>
        <v>Used for financial posting of WIP and variance.</v>
      </c>
      <c r="D80" s="3" t="s">
        <v>20</v>
      </c>
      <c r="E80" s="5"/>
    </row>
    <row r="81" spans="1:5">
      <c r="A81" s="3" t="s">
        <v>172</v>
      </c>
      <c r="B81" s="4" t="s">
        <v>173</v>
      </c>
      <c r="C81" s="3" t="str">
        <f>VLOOKUP(A81,[1]KnowledgeBase!$B:$D,3,FALSE)</f>
        <v>Records raw material consumption.</v>
      </c>
      <c r="D81" s="3" t="s">
        <v>20</v>
      </c>
      <c r="E81" s="5"/>
    </row>
    <row r="82" spans="1:5">
      <c r="A82" s="3" t="s">
        <v>174</v>
      </c>
      <c r="B82" s="4" t="s">
        <v>175</v>
      </c>
      <c r="C82" s="3" t="str">
        <f>VLOOKUP(A82,[1]KnowledgeBase!$B:$D,3,FALSE)</f>
        <v>Records completed finished goods.</v>
      </c>
      <c r="D82" s="3" t="s">
        <v>20</v>
      </c>
      <c r="E82" s="5"/>
    </row>
    <row r="83" spans="1:5">
      <c r="A83" s="3" t="s">
        <v>176</v>
      </c>
      <c r="B83" s="4" t="s">
        <v>177</v>
      </c>
      <c r="C83" s="3" t="str">
        <f>VLOOKUP(A83,[1]KnowledgeBase!$B:$D,3,FALSE)</f>
        <v>The "time card" for a machine or worker on the shop floor.</v>
      </c>
      <c r="D83" s="3" t="s">
        <v>20</v>
      </c>
      <c r="E83" s="5"/>
    </row>
    <row r="84" spans="1:5">
      <c r="A84" s="3" t="s">
        <v>178</v>
      </c>
      <c r="B84" s="4" t="s">
        <v>179</v>
      </c>
      <c r="C84" s="3" t="str">
        <f>VLOOKUP(A84,[1]KnowledgeBase!$B:$D,3,FALSE)</f>
        <v>Headers for Picking Lists, Route Cards, and Jobs.</v>
      </c>
      <c r="D84" s="3" t="s">
        <v>20</v>
      </c>
      <c r="E84" s="5"/>
    </row>
    <row r="85" spans="1:5">
      <c r="A85" s="3" t="s">
        <v>180</v>
      </c>
      <c r="B85" s="4" t="s">
        <v>181</v>
      </c>
      <c r="C85" s="3" t="str">
        <f>VLOOKUP(A85,[1]KnowledgeBase!$B:$D,3,FALSE)</f>
        <v>Groups orders for scheduling or reporting.</v>
      </c>
      <c r="D85" s="3" t="s">
        <v>20</v>
      </c>
      <c r="E85" s="5"/>
    </row>
    <row r="86" spans="1:5">
      <c r="A86" s="3" t="s">
        <v>182</v>
      </c>
      <c r="B86" s="4" t="s">
        <v>183</v>
      </c>
      <c r="C86" s="3" t="str">
        <f>VLOOKUP(A86,[1]KnowledgeBase!$B:$D,3,FALSE)</f>
        <v>The steps (Operations) required to build the item.</v>
      </c>
      <c r="D86" s="3" t="s">
        <v>20</v>
      </c>
      <c r="E86" s="5"/>
    </row>
    <row r="87" spans="1:5">
      <c r="A87" s="3" t="s">
        <v>184</v>
      </c>
      <c r="B87" s="4" t="s">
        <v>185</v>
      </c>
      <c r="C87" s="3" t="str">
        <f>VLOOKUP(A87,[1]KnowledgeBase!$B:$D,3,FALSE)</f>
        <v>Detailed labor and machine time posted to a production order.</v>
      </c>
      <c r="D87" s="3" t="s">
        <v>20</v>
      </c>
      <c r="E87" s="5"/>
    </row>
    <row r="88" spans="1:5">
      <c r="A88" s="3" t="s">
        <v>186</v>
      </c>
      <c r="B88" s="4" t="s">
        <v>187</v>
      </c>
      <c r="C88" s="3" t="str">
        <f>VLOOKUP(A88,[1]KnowledgeBase!$B:$D,3,FALSE)</f>
        <v>Header for a manufacturing job.</v>
      </c>
      <c r="D88" s="3" t="s">
        <v>20</v>
      </c>
      <c r="E88" s="5"/>
    </row>
    <row r="89" spans="1:5">
      <c r="A89" s="3" t="s">
        <v>188</v>
      </c>
      <c r="B89" s="4" t="s">
        <v>189</v>
      </c>
      <c r="C89" s="3" t="str">
        <f>VLOOKUP(A89,[1]KnowledgeBase!$B:$D,3,FALSE)</f>
        <v>Identifies the type of work (Labor, Travel, Hardware).</v>
      </c>
      <c r="D89" s="3" t="s">
        <v>190</v>
      </c>
      <c r="E89" s="5"/>
    </row>
    <row r="90" spans="1:5">
      <c r="A90" s="3" t="s">
        <v>191</v>
      </c>
      <c r="B90" s="4" t="s">
        <v>192</v>
      </c>
      <c r="C90" s="3" t="str">
        <f>VLOOKUP(A90,[1]KnowledgeBase!$B:$D,3,FALSE)</f>
        <v>Travel and other costs billed to projects.</v>
      </c>
      <c r="D90" s="3" t="s">
        <v>190</v>
      </c>
      <c r="E90" s="5"/>
    </row>
    <row r="91" spans="1:5">
      <c r="A91" s="3" t="s">
        <v>193</v>
      </c>
      <c r="B91" s="4" t="s">
        <v>194</v>
      </c>
      <c r="C91" s="3" t="str">
        <f>VLOOKUP(A91,[1]KnowledgeBase!$B:$D,3,FALSE)</f>
        <v>Time logged by employees against projects.</v>
      </c>
      <c r="D91" s="3" t="s">
        <v>190</v>
      </c>
      <c r="E91" s="5"/>
    </row>
    <row r="92" spans="1:5">
      <c r="A92" s="3" t="s">
        <v>195</v>
      </c>
      <c r="B92" s="4" t="s">
        <v>196</v>
      </c>
      <c r="C92" s="3" t="str">
        <f>VLOOKUP(A92,[1]KnowledgeBase!$B:$D,3,FALSE)</f>
        <v>Defines the accounting rules for project types.</v>
      </c>
      <c r="D92" s="3" t="s">
        <v>190</v>
      </c>
      <c r="E92" s="5"/>
    </row>
    <row r="93" spans="1:5">
      <c r="A93" s="3" t="s">
        <v>197</v>
      </c>
      <c r="B93" s="4" t="s">
        <v>198</v>
      </c>
      <c r="C93" s="3" t="str">
        <f>VLOOKUP(A93,[1]KnowledgeBase!$B:$D,3,FALSE)</f>
        <v>Header for customer-facing project billing.</v>
      </c>
      <c r="D93" s="3" t="s">
        <v>190</v>
      </c>
      <c r="E93" s="5"/>
    </row>
    <row r="94" spans="1:5">
      <c r="A94" s="3" t="s">
        <v>199</v>
      </c>
      <c r="B94" s="4" t="s">
        <v>200</v>
      </c>
      <c r="C94" s="3" t="str">
        <f>VLOOKUP(A94,[1]KnowledgeBase!$B:$D,3,FALSE)</f>
        <v>Goods consumed or sold on a project.</v>
      </c>
      <c r="D94" s="3" t="s">
        <v>190</v>
      </c>
      <c r="E94" s="5"/>
    </row>
    <row r="95" spans="1:5">
      <c r="A95" s="3" t="s">
        <v>201</v>
      </c>
      <c r="B95" s="4" t="s">
        <v>202</v>
      </c>
      <c r="C95" s="3" t="str">
        <f>VLOOKUP(A95,[1]KnowledgeBase!$B:$D,3,FALSE)</f>
        <v>Income recognized on a project.</v>
      </c>
      <c r="D95" s="3" t="s">
        <v>190</v>
      </c>
      <c r="E95" s="5"/>
    </row>
    <row r="96" spans="1:5">
      <c r="A96" s="3" t="s">
        <v>203</v>
      </c>
      <c r="B96" s="4" t="s">
        <v>204</v>
      </c>
      <c r="C96" s="3" t="str">
        <f>VLOOKUP(A96,[1]KnowledgeBase!$B:$D,3,FALSE)</f>
        <v>The master record for a project/contract.</v>
      </c>
      <c r="D96" s="3" t="s">
        <v>190</v>
      </c>
      <c r="E96" s="5"/>
    </row>
    <row r="97" spans="1:5">
      <c r="A97" s="3" t="s">
        <v>205</v>
      </c>
      <c r="B97" s="4" t="s">
        <v>206</v>
      </c>
      <c r="C97" s="3" t="str">
        <f>VLOOKUP(A97,[1]KnowledgeBase!$B:$D,3,FALSE)</f>
        <v>Financial link between project and GL.</v>
      </c>
      <c r="D97" s="3" t="s">
        <v>190</v>
      </c>
      <c r="E97" s="5"/>
    </row>
    <row r="98" spans="1:5">
      <c r="A98" s="3" t="s">
        <v>207</v>
      </c>
      <c r="B98" s="4" t="s">
        <v>208</v>
      </c>
      <c r="C98" s="3" t="str">
        <f>VLOOKUP(A98,[1]KnowledgeBase!$B:$D,3,FALSE)</f>
        <v>Long-term contracts with vendors (Price/Volume).</v>
      </c>
      <c r="D98" s="3" t="s">
        <v>167</v>
      </c>
      <c r="E98" s="5"/>
    </row>
    <row r="99" ht="182.75" spans="1:5">
      <c r="A99" s="3" t="s">
        <v>209</v>
      </c>
      <c r="B99" s="4" t="s">
        <v>210</v>
      </c>
      <c r="C99" s="3" t="str">
        <f>VLOOKUP(A99,[1]KnowledgeBase!$B:$D,3,FALSE)</f>
        <v>Items, quantities, and agreed purchase prices.
Rules:
1. The "Lead Time" Rule: If the user asks about "Vendor Lead Time," the agent needs to compare PurchTable.CreatedDateTime against the first receipt date found in inventory transactions linked to that PurchLine.
2. The "Price Variance" Rule: To find price discrepancies, the agent must compare PurchLine.PurchPrice (the agreed price) against VendInvoiceTrans.PurchPrice (the actually invoiced price)
3. Purchase warehouse: Every transaction table has an InventDimId. This ID maps to the InventDim table, which holds the Site (InventSiteId), Warehouse (InventLocationId), and Batch (inventBatchId).</v>
      </c>
      <c r="D99" s="3" t="s">
        <v>211</v>
      </c>
      <c r="E99" s="5"/>
    </row>
    <row r="100" spans="1:5">
      <c r="A100" s="3" t="s">
        <v>212</v>
      </c>
      <c r="B100" s="4" t="s">
        <v>213</v>
      </c>
      <c r="C100" s="3" t="str">
        <f>VLOOKUP(A100,[1]KnowledgeBase!$B:$D,3,FALSE)</f>
        <v>Changes to individual purchase lines.</v>
      </c>
      <c r="D100" s="3" t="s">
        <v>167</v>
      </c>
      <c r="E100" s="5"/>
    </row>
    <row r="101" spans="1:5">
      <c r="A101" s="3" t="s">
        <v>214</v>
      </c>
      <c r="B101" s="4" t="s">
        <v>215</v>
      </c>
      <c r="C101" s="3" t="str">
        <f>VLOOKUP(A101,[1]KnowledgeBase!$B:$D,3,FALSE)</f>
        <v>System settings for procurement.</v>
      </c>
      <c r="D101" s="3" t="s">
        <v>211</v>
      </c>
      <c r="E101" s="5"/>
    </row>
    <row r="102" spans="1:5">
      <c r="A102" s="3" t="s">
        <v>216</v>
      </c>
      <c r="B102" s="4" t="s">
        <v>217</v>
      </c>
      <c r="C102" s="3" t="str">
        <f>VLOOKUP(A102,[1]KnowledgeBase!$B:$D,3,FALSE)</f>
        <v>Items requested for purchase.</v>
      </c>
      <c r="D102" s="3" t="s">
        <v>211</v>
      </c>
      <c r="E102" s="5"/>
    </row>
    <row r="103" spans="1:5">
      <c r="A103" s="3" t="s">
        <v>218</v>
      </c>
      <c r="B103" s="4" t="s">
        <v>219</v>
      </c>
      <c r="C103" s="3" t="str">
        <f>VLOOKUP(A103,[1]KnowledgeBase!$B:$D,3,FALSE)</f>
        <v>Internal requests to buy something.</v>
      </c>
      <c r="D103" s="3" t="s">
        <v>211</v>
      </c>
      <c r="E103" s="5"/>
    </row>
    <row r="104" spans="1:5">
      <c r="A104" s="3" t="s">
        <v>220</v>
      </c>
      <c r="B104" s="4" t="s">
        <v>221</v>
      </c>
      <c r="C104" s="3" t="str">
        <f>VLOOKUP(A104,[1]KnowledgeBase!$B:$D,3,FALSE)</f>
        <v>Requests for Quotation sent to vendors.</v>
      </c>
      <c r="D104" s="3" t="s">
        <v>211</v>
      </c>
      <c r="E104" s="5"/>
    </row>
    <row r="105" ht="238.75" spans="1:5">
      <c r="A105" s="3" t="s">
        <v>222</v>
      </c>
      <c r="B105" s="4" t="s">
        <v>223</v>
      </c>
      <c r="C105" s="3" t="str">
        <f>VLOOKUP(A105,[1]KnowledgeBase!$B:$D,3,FALSE)</f>
        <v>Buying goods/services from vendors.
Rules:
1. The "Three-way matching" The system compares three values across tables: Price on PurchLine (The Agreement) and Product Receipt on VendPackingSlipTrans (The Quantity received) and Invoice on VendInvoiceInfoLine (The Quantity and Price billed). If VendInvoiceInfoTable.LogisticsLocationId or price tolerances are exceeded, the system sets a Matching Status flag. An agent should look for lines where MatchingAgreement = No to find data issues. Matching policy hierarchy: Company Level: Defined in AP Parameters &gt; Item/Vendor Level: Defined in the matching policy override tables &gt; Transaction Level: The specific policy assigned to the PO.
2. The "Lead Time" Rule: If the user asks about "Vendor Lead Time," the agent needs to compare PurchTable.CreatedDateTime against the first receipt date found in inventory transactions linked to that PurchLine.</v>
      </c>
      <c r="D105" s="3" t="s">
        <v>211</v>
      </c>
      <c r="E105" s="5"/>
    </row>
    <row r="106" spans="1:5">
      <c r="A106" s="3" t="s">
        <v>224</v>
      </c>
      <c r="B106" s="4" t="s">
        <v>225</v>
      </c>
      <c r="C106" s="3" t="str">
        <f>VLOOKUP(A106,[1]KnowledgeBase!$B:$D,3,FALSE)</f>
        <v>Audit trail for purchase order modifications.</v>
      </c>
      <c r="D106" s="3" t="s">
        <v>211</v>
      </c>
      <c r="E106" s="5"/>
    </row>
    <row r="107" spans="1:5">
      <c r="A107" s="3" t="s">
        <v>226</v>
      </c>
      <c r="B107" s="4" t="s">
        <v>227</v>
      </c>
      <c r="C107" s="3" t="str">
        <f>VLOOKUP(A107,[1]KnowledgeBase!$B:$D,3,FALSE)</f>
        <v>Orders suggested by Master Planning (MRP).</v>
      </c>
      <c r="D107" s="3" t="s">
        <v>20</v>
      </c>
      <c r="E107" s="5"/>
    </row>
    <row r="108" spans="1:5">
      <c r="A108" s="3" t="s">
        <v>228</v>
      </c>
      <c r="B108" s="4" t="s">
        <v>229</v>
      </c>
      <c r="C108" s="3" t="str">
        <f>VLOOKUP(A108,[1]KnowledgeBase!$B:$D,3,FALSE)</f>
        <v>MRP logic tracking supply and demand.</v>
      </c>
      <c r="D108" s="3" t="s">
        <v>20</v>
      </c>
      <c r="E108" s="5"/>
    </row>
    <row r="109" spans="1:5">
      <c r="A109" s="3" t="s">
        <v>230</v>
      </c>
      <c r="B109" s="4" t="s">
        <v>231</v>
      </c>
      <c r="C109" s="3" t="str">
        <f>VLOOKUP(A109,[1]KnowledgeBase!$B:$D,3,FALSE)</f>
        <v>Permissions and IDs for store associates and cashiers.</v>
      </c>
      <c r="D109" s="3" t="s">
        <v>232</v>
      </c>
      <c r="E109" s="5"/>
    </row>
    <row r="110" spans="1:5">
      <c r="A110" s="3" t="s">
        <v>233</v>
      </c>
      <c r="B110" s="4" t="s">
        <v>234</v>
      </c>
      <c r="C110" s="3" t="str">
        <f>VLOOKUP(A110,[1]KnowledgeBase!$B:$D,3,FALSE)</f>
        <v>Configuration for physical storefronts or e-commerce sites.</v>
      </c>
      <c r="D110" s="3" t="s">
        <v>232</v>
      </c>
      <c r="E110" s="5"/>
    </row>
    <row r="111" spans="1:5">
      <c r="A111" s="3" t="s">
        <v>235</v>
      </c>
      <c r="B111" s="4" t="s">
        <v>236</v>
      </c>
      <c r="C111" s="3" t="str">
        <f>VLOOKUP(A111,[1]KnowledgeBase!$B:$D,3,FALSE)</f>
        <v>Specific register/hardware metadata for stores.</v>
      </c>
      <c r="D111" s="3" t="s">
        <v>232</v>
      </c>
      <c r="E111" s="5"/>
    </row>
    <row r="112" spans="1:5">
      <c r="A112" s="3" t="s">
        <v>237</v>
      </c>
      <c r="B112" s="4" t="s">
        <v>238</v>
      </c>
      <c r="C112" s="3" t="str">
        <f>VLOOKUP(A112,[1]KnowledgeBase!$B:$D,3,FALSE)</f>
        <v>Header for POS (Point of Sale) sales from physical stores.</v>
      </c>
      <c r="D112" s="3" t="s">
        <v>232</v>
      </c>
      <c r="E112" s="5"/>
    </row>
    <row r="113" spans="1:5">
      <c r="A113" s="3" t="s">
        <v>239</v>
      </c>
      <c r="B113" s="4" t="s">
        <v>239</v>
      </c>
      <c r="C113" s="3" t="str">
        <f>VLOOKUP(A113,[1]KnowledgeBase!$B:$D,3,FALSE)</f>
        <v>Detailed steps within a route.</v>
      </c>
      <c r="D113" s="3" t="s">
        <v>20</v>
      </c>
      <c r="E113" s="5"/>
    </row>
    <row r="114" spans="1:5">
      <c r="A114" s="3" t="s">
        <v>240</v>
      </c>
      <c r="B114" s="4" t="s">
        <v>241</v>
      </c>
      <c r="C114" s="3" t="str">
        <f>VLOOKUP(A114,[1]KnowledgeBase!$B:$D,3,FALSE)</f>
        <v>List of operations (Cut, Weld, Paint).</v>
      </c>
      <c r="D114" s="3" t="s">
        <v>20</v>
      </c>
      <c r="E114" s="5"/>
    </row>
    <row r="115" ht="224.75" spans="1:5">
      <c r="A115" s="3" t="s">
        <v>242</v>
      </c>
      <c r="B115" s="4" t="s">
        <v>243</v>
      </c>
      <c r="C115" s="3" t="str">
        <f>VLOOKUP(A115,[1]KnowledgeBase!$B:$D,3,FALSE)</f>
        <v>Specific items, quantities, and prices on an order.
Rules:
1. Unit Price Rule: Determined by the hierarchy: Sales Agreement → Trade Agreement → Item Base Price → Standard Cost → Default Sales Price.
2. When a user enters a Qty and ItemId, the system calculates the following dates based on a specific hierarchy (delivery date control(:
Sales Lead Time: A fixed number of days defined on the Product or Site &gt; ATP (Available to Promise): Calculations based on current inventory + incoming supply (Purchase Orders/Production) - outgoing demand &gt; CTP (Capable to Promise): The most complex rule; it looks at production capacity and raw material availability.
3. For "Actual Sales," the agent should ignore SalesLine and query CustInvoiceTrans. SalesLine includes deleted, cancelled, or quoted orders; CustInvoiceTrans only contains what was actually billed.</v>
      </c>
      <c r="D115" s="3" t="s">
        <v>33</v>
      </c>
      <c r="E115" s="5"/>
    </row>
    <row r="116" spans="1:5">
      <c r="A116" s="3" t="s">
        <v>244</v>
      </c>
      <c r="B116" s="4" t="s">
        <v>245</v>
      </c>
      <c r="C116" s="3" t="str">
        <f>VLOOKUP(A116,[1]KnowledgeBase!$B:$D,3,FALSE)</f>
        <v>Global settings for the Sales module.</v>
      </c>
      <c r="D116" s="3" t="s">
        <v>33</v>
      </c>
      <c r="E116" s="5"/>
    </row>
    <row r="117" spans="1:5">
      <c r="A117" s="3" t="s">
        <v>246</v>
      </c>
      <c r="B117" s="4" t="s">
        <v>247</v>
      </c>
      <c r="C117" s="3" t="str">
        <f>VLOOKUP(A117,[1]KnowledgeBase!$B:$D,3,FALSE)</f>
        <v>Item details on a quote.</v>
      </c>
      <c r="D117" s="3" t="s">
        <v>33</v>
      </c>
      <c r="E117" s="5"/>
    </row>
    <row r="118" spans="1:5">
      <c r="A118" s="3" t="s">
        <v>248</v>
      </c>
      <c r="B118" s="4" t="s">
        <v>249</v>
      </c>
      <c r="C118" s="3" t="str">
        <f>VLOOKUP(A118,[1]KnowledgeBase!$B:$D,3,FALSE)</f>
        <v>Pre-sales documents for customers.</v>
      </c>
      <c r="D118" s="3" t="s">
        <v>33</v>
      </c>
      <c r="E118" s="5"/>
    </row>
    <row r="119" ht="140.75" spans="1:5">
      <c r="A119" s="3" t="s">
        <v>250</v>
      </c>
      <c r="B119" s="4" t="s">
        <v>251</v>
      </c>
      <c r="C119" s="3" t="str">
        <f>VLOOKUP(A119,[1]KnowledgeBase!$B:$D,3,FALSE)</f>
        <v>Orders created for customers.
- Schedule shipping rules: To determine when an item should have shipped, the agent must look at SalesLine.ShippingDateConfirmed. If that is empty (null/zero), it must fallback to SalesLine.ShippingDateRequested.
- Actual shipping rules: The SalesLine table does not store the "Actual" physical ship date for historical analysis. Your agent must join to CustInvoiceJour (the invoice date) or SalesLine.confirmedDlv to see when the status changed.
</v>
      </c>
      <c r="D119" s="3" t="s">
        <v>33</v>
      </c>
      <c r="E119" s="5"/>
    </row>
    <row r="120" spans="1:5">
      <c r="A120" s="3" t="s">
        <v>252</v>
      </c>
      <c r="B120" s="4" t="s">
        <v>253</v>
      </c>
      <c r="C120" s="3" t="str">
        <f>VLOOKUP(A120,[1]KnowledgeBase!$B:$D,3,FALSE)</f>
        <v>Audit trail of changes to sales orders.</v>
      </c>
      <c r="D120" s="3" t="s">
        <v>33</v>
      </c>
      <c r="E120" s="5"/>
    </row>
    <row r="121" spans="1:5">
      <c r="A121" s="3" t="s">
        <v>254</v>
      </c>
      <c r="B121" s="4" t="s">
        <v>255</v>
      </c>
      <c r="C121" s="3" t="str">
        <f>VLOOKUP(A121,[1]KnowledgeBase!$B:$D,3,FALSE)</f>
        <v>Stores historical and current sales tax rates.</v>
      </c>
      <c r="D121" s="3" t="s">
        <v>30</v>
      </c>
      <c r="E121" s="5"/>
    </row>
    <row r="122" spans="1:5">
      <c r="A122" s="3" t="s">
        <v>256</v>
      </c>
      <c r="B122" s="4" t="s">
        <v>257</v>
      </c>
      <c r="C122" s="3" t="str">
        <f>VLOOKUP(A122,[1]KnowledgeBase!$B:$D,3,FALSE)</f>
        <v>Links tax codes to specific groups (e.g., State Tax).</v>
      </c>
      <c r="D122" s="3" t="s">
        <v>30</v>
      </c>
      <c r="E122" s="5"/>
    </row>
    <row r="123" spans="1:5">
      <c r="A123" s="3" t="s">
        <v>258</v>
      </c>
      <c r="B123" s="4" t="s">
        <v>259</v>
      </c>
      <c r="C123" s="3" t="str">
        <f>VLOOKUP(A123,[1]KnowledgeBase!$B:$D,3,FALSE)</f>
        <v>Records tax calculated on posted documents.</v>
      </c>
      <c r="D123" s="3" t="s">
        <v>30</v>
      </c>
      <c r="E123" s="5"/>
    </row>
    <row r="124" spans="1:5">
      <c r="A124" s="3" t="s">
        <v>260</v>
      </c>
      <c r="B124" s="4" t="s">
        <v>261</v>
      </c>
      <c r="C124" s="3" t="str">
        <f>VLOOKUP(A124,[1]KnowledgeBase!$B:$D,3,FALSE)</f>
        <v>Master list of shipping providers (FedEx, UPS, Freight).</v>
      </c>
      <c r="D124" s="3" t="s">
        <v>262</v>
      </c>
      <c r="E124" s="5"/>
    </row>
    <row r="125" spans="1:5">
      <c r="A125" s="3" t="s">
        <v>263</v>
      </c>
      <c r="B125" s="4" t="s">
        <v>239</v>
      </c>
      <c r="C125" s="3" t="str">
        <f>VLOOKUP(A125,[1]KnowledgeBase!$B:$D,3,FALSE)</f>
        <v>The plan for a truck's journey from warehouse to customer.</v>
      </c>
      <c r="D125" s="3" t="s">
        <v>262</v>
      </c>
      <c r="E125" s="5"/>
    </row>
    <row r="126" spans="1:5">
      <c r="A126" s="3" t="s">
        <v>264</v>
      </c>
      <c r="B126" s="4" t="s">
        <v>265</v>
      </c>
      <c r="C126" s="3" t="str">
        <f>VLOOKUP(A126,[1]KnowledgeBase!$B:$D,3,FALSE)</f>
        <v>Where we send money to the supplier.</v>
      </c>
      <c r="D126" s="3" t="s">
        <v>211</v>
      </c>
      <c r="E126" s="5"/>
    </row>
    <row r="127" spans="1:5">
      <c r="A127" s="3" t="s">
        <v>266</v>
      </c>
      <c r="B127" s="4" t="s">
        <v>267</v>
      </c>
      <c r="C127" s="3" t="str">
        <f>VLOOKUP(A127,[1]KnowledgeBase!$B:$D,3,FALSE)</f>
        <v>Categorizes suppliers (Domestic, Foreign, etc.).</v>
      </c>
      <c r="D127" s="3" t="s">
        <v>211</v>
      </c>
      <c r="E127" s="5"/>
    </row>
    <row r="128" spans="1:5">
      <c r="A128" s="3" t="s">
        <v>268</v>
      </c>
      <c r="B128" s="4" t="s">
        <v>269</v>
      </c>
      <c r="C128" s="3" t="str">
        <f>VLOOKUP(A128,[1]KnowledgeBase!$B:$D,3,FALSE)</f>
        <v>Detail of invoices currently sitting in a draft/approval state.</v>
      </c>
      <c r="D128" s="3" t="s">
        <v>167</v>
      </c>
      <c r="E128" s="5"/>
    </row>
    <row r="129" spans="1:5">
      <c r="A129" s="3" t="s">
        <v>270</v>
      </c>
      <c r="B129" s="4" t="s">
        <v>271</v>
      </c>
      <c r="C129" s="3" t="str">
        <f>VLOOKUP(A129,[1]KnowledgeBase!$B:$D,3,FALSE)</f>
        <v>Invoices currently in the approval workflow.</v>
      </c>
      <c r="D129" s="3" t="s">
        <v>211</v>
      </c>
      <c r="E129" s="5"/>
    </row>
    <row r="130" spans="1:5">
      <c r="A130" s="3" t="s">
        <v>272</v>
      </c>
      <c r="B130" s="4" t="s">
        <v>273</v>
      </c>
      <c r="C130" s="3" t="str">
        <f>VLOOKUP(A130,[1]KnowledgeBase!$B:$D,3,FALSE)</f>
        <v>Records of posted vendor invoices.</v>
      </c>
      <c r="D130" s="3" t="s">
        <v>211</v>
      </c>
      <c r="E130" s="5"/>
    </row>
    <row r="131" spans="1:5">
      <c r="A131" s="3" t="s">
        <v>274</v>
      </c>
      <c r="B131" s="4" t="s">
        <v>275</v>
      </c>
      <c r="C131" s="3" t="str">
        <f>VLOOKUP(A131,[1]KnowledgeBase!$B:$D,3,FALSE)</f>
        <v>Detail of what was billed by the supplier.</v>
      </c>
      <c r="D131" s="3" t="s">
        <v>211</v>
      </c>
      <c r="E131" s="5"/>
    </row>
    <row r="132" spans="1:5">
      <c r="A132" s="3" t="s">
        <v>276</v>
      </c>
      <c r="B132" s="4" t="s">
        <v>277</v>
      </c>
      <c r="C132" s="3" t="str">
        <f>VLOOKUP(A132,[1]KnowledgeBase!$B:$D,3,FALSE)</f>
        <v>Header record for "Goods Received" (GRN).</v>
      </c>
      <c r="D132" s="3" t="s">
        <v>211</v>
      </c>
      <c r="E132" s="5"/>
    </row>
    <row r="133" spans="1:5">
      <c r="A133" s="3" t="s">
        <v>278</v>
      </c>
      <c r="B133" s="4" t="s">
        <v>279</v>
      </c>
      <c r="C133" s="3" t="str">
        <f>VLOOKUP(A133,[1]KnowledgeBase!$B:$D,3,FALSE)</f>
        <v>Detailed items received into the warehouse.</v>
      </c>
      <c r="D133" s="3" t="s">
        <v>211</v>
      </c>
      <c r="E133" s="5"/>
    </row>
    <row r="134" spans="1:5">
      <c r="A134" s="3" t="s">
        <v>280</v>
      </c>
      <c r="B134" s="4" t="s">
        <v>281</v>
      </c>
      <c r="C134" s="3" t="str">
        <f>VLOOKUP(A134,[1]KnowledgeBase!$B:$D,3,FALSE)</f>
        <v>How we pay vendors (Electronic, Check).</v>
      </c>
      <c r="D134" s="3" t="s">
        <v>211</v>
      </c>
      <c r="E134" s="5"/>
    </row>
    <row r="135" spans="1:5">
      <c r="A135" s="3" t="s">
        <v>282</v>
      </c>
      <c r="B135" s="4" t="s">
        <v>283</v>
      </c>
      <c r="C135" s="3" t="str">
        <f>VLOOKUP(A135,[1]KnowledgeBase!$B:$D,3,FALSE)</f>
        <v>Onboarding workflow for new suppliers.</v>
      </c>
      <c r="D135" s="3" t="s">
        <v>167</v>
      </c>
      <c r="E135" s="5"/>
    </row>
    <row r="136" spans="1:5">
      <c r="A136" s="3" t="s">
        <v>284</v>
      </c>
      <c r="B136" s="4" t="s">
        <v>285</v>
      </c>
      <c r="C136" s="3" t="str">
        <f>VLOOKUP(A136,[1]KnowledgeBase!$B:$D,3,FALSE)</f>
        <v>Matches payments to vendor invoices.</v>
      </c>
      <c r="D136" s="3" t="s">
        <v>211</v>
      </c>
      <c r="E136" s="5"/>
    </row>
    <row r="137" spans="1:5">
      <c r="A137" s="3" t="s">
        <v>286</v>
      </c>
      <c r="B137" s="4" t="s">
        <v>287</v>
      </c>
      <c r="C137" s="3" t="str">
        <f>VLOOKUP(A137,[1]KnowledgeBase!$B:$D,3,FALSE)</f>
        <v>Supplier master records.</v>
      </c>
      <c r="D137" s="3" t="s">
        <v>211</v>
      </c>
      <c r="E137" s="5"/>
    </row>
    <row r="138" spans="1:5">
      <c r="A138" s="3" t="s">
        <v>288</v>
      </c>
      <c r="B138" s="4" t="s">
        <v>289</v>
      </c>
      <c r="C138" s="3" t="str">
        <f>VLOOKUP(A138,[1]KnowledgeBase!$B:$D,3,FALSE)</f>
        <v>Records of invoices received and payments made.</v>
      </c>
      <c r="D138" s="3" t="s">
        <v>211</v>
      </c>
      <c r="E138" s="5"/>
    </row>
    <row r="139" spans="1:5">
      <c r="A139" s="3" t="s">
        <v>290</v>
      </c>
      <c r="B139" s="4" t="s">
        <v>291</v>
      </c>
      <c r="C139" s="3" t="str">
        <f>VLOOKUP(A139,[1]KnowledgeBase!$B:$D,3,FALSE)</f>
        <v>Unpaid vendor bills.</v>
      </c>
      <c r="D139" s="3" t="s">
        <v>211</v>
      </c>
      <c r="E139" s="5"/>
    </row>
    <row r="140" spans="1:5">
      <c r="A140" s="3" t="s">
        <v>292</v>
      </c>
      <c r="B140" s="4" t="s">
        <v>293</v>
      </c>
      <c r="C140" s="3" t="str">
        <f>VLOOKUP(A140,[1]KnowledgeBase!$B:$D,3,FALSE)</f>
        <v>Tracks the boxes or pallets items are packed into for shipping.</v>
      </c>
      <c r="D140" s="3" t="s">
        <v>294</v>
      </c>
      <c r="E140" s="5"/>
    </row>
    <row r="141" spans="1:5">
      <c r="A141" s="3" t="s">
        <v>295</v>
      </c>
      <c r="B141" s="4" t="s">
        <v>296</v>
      </c>
      <c r="C141" s="3" t="str">
        <f>VLOOKUP(A141,[1]KnowledgeBase!$B:$D,3,FALSE)</f>
        <v>Tracks physical stock "locked" for a specific warehouse work order.</v>
      </c>
      <c r="D141" s="3" t="s">
        <v>294</v>
      </c>
      <c r="E141" s="5"/>
    </row>
    <row r="142" spans="1:5">
      <c r="A142" s="3" t="s">
        <v>297</v>
      </c>
      <c r="B142" s="4" t="s">
        <v>298</v>
      </c>
      <c r="C142" s="3" t="str">
        <f>VLOOKUP(A142,[1]KnowledgeBase!$B:$D,3,FALSE)</f>
        <v>Rules for a bin (e.g., "Allow mixed items" or "Pickable").</v>
      </c>
      <c r="D142" s="3" t="s">
        <v>294</v>
      </c>
      <c r="E142" s="5"/>
    </row>
    <row r="143" spans="1:5">
      <c r="A143" s="3" t="s">
        <v>299</v>
      </c>
      <c r="B143" s="4" t="s">
        <v>300</v>
      </c>
      <c r="C143" s="3" t="str">
        <f>VLOOKUP(A143,[1]KnowledgeBase!$B:$D,3,FALSE)</f>
        <v>A batch of warehouse work released for picking simultaneously.</v>
      </c>
      <c r="D143" s="3" t="s">
        <v>294</v>
      </c>
      <c r="E143" s="5"/>
    </row>
    <row r="144" ht="28.75" spans="1:5">
      <c r="A144" s="3" t="s">
        <v>301</v>
      </c>
      <c r="B144" s="4" t="s">
        <v>302</v>
      </c>
      <c r="C144" s="3" t="str">
        <f>VLOOKUP(A144,[1]KnowledgeBase!$B:$D,3,FALSE)</f>
        <v>Categorizes warehouse work for different teams (e.g., Forklift vs. Manual).</v>
      </c>
      <c r="D144" s="3" t="s">
        <v>294</v>
      </c>
      <c r="E144" s="5"/>
    </row>
    <row r="145" spans="1:5">
      <c r="A145" s="3" t="s">
        <v>303</v>
      </c>
      <c r="B145" s="4" t="s">
        <v>304</v>
      </c>
      <c r="C145" s="3" t="str">
        <f>VLOOKUP(A145,[1]KnowledgeBase!$B:$D,3,FALSE)</f>
        <v>Groups of locations (e.g., Refrigerated Zone, Bulk Zone).</v>
      </c>
      <c r="D145" s="3" t="s">
        <v>294</v>
      </c>
      <c r="E145" s="5"/>
    </row>
    <row r="146" spans="1:5">
      <c r="A146" s="3" t="s">
        <v>305</v>
      </c>
      <c r="B146" s="4" t="s">
        <v>156</v>
      </c>
      <c r="C146" s="3" t="str">
        <f>VLOOKUP(A146,[1]KnowledgeBase!$B:$D,3,FALSE)</f>
        <v>Aisle, Rack, Shelf, and Bin details.</v>
      </c>
      <c r="D146" s="3" t="s">
        <v>75</v>
      </c>
      <c r="E146" s="5"/>
    </row>
    <row r="147" spans="1:5">
      <c r="A147" s="3" t="s">
        <v>306</v>
      </c>
      <c r="B147" s="4" t="s">
        <v>307</v>
      </c>
      <c r="C147" s="3" t="str">
        <f>VLOOKUP(A147,[1]KnowledgeBase!$B:$D,3,FALSE)</f>
        <v>Tracks how many hours a machine has available for work.</v>
      </c>
      <c r="D147" s="3" t="s">
        <v>20</v>
      </c>
      <c r="E147" s="5"/>
    </row>
    <row r="148" spans="1:5">
      <c r="A148" s="3" t="s">
        <v>308</v>
      </c>
      <c r="B148" s="4" t="s">
        <v>309</v>
      </c>
      <c r="C148" s="3" t="str">
        <f>VLOOKUP(A148,[1]KnowledgeBase!$B:$D,3,FALSE)</f>
        <v>Machines, Tools, or People used in production.</v>
      </c>
      <c r="D148" s="3" t="s">
        <v>20</v>
      </c>
      <c r="E148" s="5"/>
    </row>
    <row r="149" ht="28.75" spans="1:5">
      <c r="A149" s="3" t="s">
        <v>310</v>
      </c>
      <c r="B149" s="4" t="s">
        <v>311</v>
      </c>
      <c r="C149" s="3" t="str">
        <f>VLOOKUP(A149,[1]KnowledgeBase!$B:$D,3,FALSE)</f>
        <v>Header for the Vendor Receipts List, often used for internal tracking of received goods.</v>
      </c>
      <c r="D149" s="3" t="s">
        <v>211</v>
      </c>
      <c r="E149" s="5"/>
    </row>
    <row r="150" spans="1:5">
      <c r="A150" s="3" t="s">
        <v>312</v>
      </c>
      <c r="B150" s="4" t="s">
        <v>313</v>
      </c>
      <c r="C150" s="3" t="str">
        <f>VLOOKUP(A150,[1]KnowledgeBase!$B:$D,3,FALSE)</f>
        <v>Header for Fixed Asset depreciation book journals.</v>
      </c>
      <c r="D150" s="3" t="s">
        <v>314</v>
      </c>
      <c r="E150" s="5"/>
    </row>
    <row r="151" spans="1:5">
      <c r="A151" s="3" t="s">
        <v>315</v>
      </c>
      <c r="B151" s="4" t="s">
        <v>316</v>
      </c>
      <c r="C151" s="3" t="str">
        <f>VLOOKUP(A151,[1]KnowledgeBase!$B:$D,3,FALSE)</f>
        <v>Individual transactions for Fixed Asset depreciation.</v>
      </c>
      <c r="D151" s="3" t="s">
        <v>314</v>
      </c>
      <c r="E151" s="5"/>
    </row>
    <row r="152" spans="1:5">
      <c r="A152" s="3" t="s">
        <v>317</v>
      </c>
      <c r="B152" s="4" t="s">
        <v>318</v>
      </c>
      <c r="C152" s="3" t="str">
        <f>VLOOKUP(A152,[1]KnowledgeBase!$B:$D,3,FALSE)</f>
        <v>Header for Price/Discount agreement journals (Trade Agreements).</v>
      </c>
      <c r="D152" s="3" t="s">
        <v>211</v>
      </c>
      <c r="E152" s="5"/>
    </row>
    <row r="153" ht="28.75" spans="1:5">
      <c r="A153" s="3" t="s">
        <v>319</v>
      </c>
      <c r="B153" s="4" t="s">
        <v>320</v>
      </c>
      <c r="C153" s="3" t="str">
        <f>VLOOKUP(A153,[1]KnowledgeBase!$B:$D,3,FALSE)</f>
        <v>Lines for Price/Discount agreements (setting prices for specific customers/items).</v>
      </c>
      <c r="D153" s="3" t="s">
        <v>211</v>
      </c>
      <c r="E153" s="5"/>
    </row>
    <row r="154" ht="28.75" spans="1:5">
      <c r="A154" s="3" t="s">
        <v>321</v>
      </c>
      <c r="B154" s="4" t="s">
        <v>322</v>
      </c>
      <c r="C154" s="3" t="str">
        <f>VLOOKUP(A154,[1]KnowledgeBase!$B:$D,3,FALSE)</f>
        <v>Stores the history and statistics of journals that have been successfully posted.</v>
      </c>
      <c r="D154" s="3" t="s">
        <v>30</v>
      </c>
      <c r="E154" s="5"/>
    </row>
    <row r="155" ht="28.75" spans="1:5">
      <c r="A155" s="3" t="s">
        <v>323</v>
      </c>
      <c r="B155" s="4" t="s">
        <v>324</v>
      </c>
      <c r="C155" s="3" t="str">
        <f>VLOOKUP(A155,[1]KnowledgeBase!$B:$D,3,FALSE)</f>
        <v>Tracks the voucher number sequences used during the posting of a specific journal.</v>
      </c>
      <c r="D155" s="3" t="s">
        <v>30</v>
      </c>
      <c r="E155" s="5"/>
    </row>
    <row r="156" ht="28.75" spans="1:5">
      <c r="A156" s="3" t="s">
        <v>325</v>
      </c>
      <c r="B156" s="4" t="s">
        <v>326</v>
      </c>
      <c r="C156" s="3" t="str">
        <f>VLOOKUP(A156,[1]KnowledgeBase!$B:$D,3,FALSE)</f>
        <v>Manages fees associated with customer or vendor payment journals.</v>
      </c>
      <c r="D156" s="3" t="s">
        <v>211</v>
      </c>
      <c r="E156" s="5"/>
    </row>
    <row r="157" spans="1:5">
      <c r="A157" s="3" t="s">
        <v>327</v>
      </c>
      <c r="B157" s="4" t="s">
        <v>328</v>
      </c>
      <c r="C157" s="3" t="str">
        <f>VLOOKUP(A157,[1]KnowledgeBase!$B:$D,3,FALSE)</f>
        <v>Linking table that holds project-specific data for a ledger journal line.</v>
      </c>
      <c r="D157" s="3" t="s">
        <v>30</v>
      </c>
      <c r="E157" s="5"/>
    </row>
    <row r="158" spans="1:5">
      <c r="A158" s="3" t="s">
        <v>329</v>
      </c>
      <c r="B158" s="4" t="s">
        <v>330</v>
      </c>
      <c r="C158" s="3" t="str">
        <f>VLOOKUP(A158,[1]KnowledgeBase!$B:$D,3,FALSE)</f>
        <v>Manages cost or revenue allocation details for a ledger transaction.</v>
      </c>
      <c r="D158" s="3" t="s">
        <v>30</v>
      </c>
      <c r="E158" s="5"/>
    </row>
    <row r="159" ht="28.75" spans="1:5">
      <c r="A159" s="3" t="s">
        <v>331</v>
      </c>
      <c r="B159" s="4" t="s">
        <v>146</v>
      </c>
      <c r="C159" s="3" t="str">
        <f>VLOOKUP(A159,[1]KnowledgeBase!$B:$D,3,FALSE)</f>
        <v>Russian localization table for Fixed Asset transactions within a journal.</v>
      </c>
      <c r="D159" s="3" t="s">
        <v>30</v>
      </c>
      <c r="E159" s="5"/>
    </row>
    <row r="160" ht="28.75" spans="1:5">
      <c r="A160" s="3" t="s">
        <v>332</v>
      </c>
      <c r="B160" s="4" t="s">
        <v>333</v>
      </c>
      <c r="C160" s="3" t="str">
        <f>VLOOKUP(A160,[1]KnowledgeBase!$B:$D,3,FALSE)</f>
        <v>Russian localization table for Cash transaction details within a journal.</v>
      </c>
      <c r="D160" s="3" t="s">
        <v>30</v>
      </c>
      <c r="E160" s="5"/>
    </row>
    <row r="161" ht="28.75" spans="1:5">
      <c r="A161" s="3" t="s">
        <v>334</v>
      </c>
      <c r="B161" s="4" t="s">
        <v>335</v>
      </c>
      <c r="C161" s="3" t="str">
        <f>VLOOKUP(A161,[1]KnowledgeBase!$B:$D,3,FALSE)</f>
        <v>Russian localization table for managing deferred expenses or revenues.</v>
      </c>
      <c r="D161" s="3" t="s">
        <v>30</v>
      </c>
      <c r="E161" s="5"/>
    </row>
    <row r="162" ht="28.75" spans="1:5">
      <c r="A162" s="3" t="s">
        <v>336</v>
      </c>
      <c r="B162" s="4" t="s">
        <v>337</v>
      </c>
      <c r="C162" s="3" t="str">
        <f>VLOOKUP(A162,[1]KnowledgeBase!$B:$D,3,FALSE)</f>
        <v>Stores historical audit versions of the journal header before or after changes.</v>
      </c>
      <c r="D162" s="3" t="s">
        <v>30</v>
      </c>
      <c r="E162" s="5"/>
    </row>
    <row r="163" spans="1:5">
      <c r="A163" s="3" t="s">
        <v>338</v>
      </c>
      <c r="B163" s="4" t="s">
        <v>339</v>
      </c>
      <c r="C163" s="3" t="str">
        <f>VLOOKUP(A163,[1]KnowledgeBase!$B:$D,3,FALSE)</f>
        <v>Stores historical audit versions of individual journal lines.</v>
      </c>
      <c r="D163" s="3" t="s">
        <v>30</v>
      </c>
      <c r="E163" s="5"/>
    </row>
    <row r="164" ht="28.75" spans="1:5">
      <c r="A164" s="3" t="s">
        <v>340</v>
      </c>
      <c r="B164" s="4" t="s">
        <v>341</v>
      </c>
      <c r="C164" s="3" t="str">
        <f>VLOOKUP(A164,[1]KnowledgeBase!$B:$D,3,FALSE)</f>
        <v>Part of the Credit Management module; handles credit limit rules and parameters.</v>
      </c>
      <c r="D164" s="3" t="s">
        <v>33</v>
      </c>
      <c r="E164" s="5"/>
    </row>
    <row r="165" ht="28.75" spans="1:5">
      <c r="A165" s="3" t="s">
        <v>342</v>
      </c>
      <c r="B165" s="4" t="s">
        <v>343</v>
      </c>
      <c r="C165" s="3" t="str">
        <f>VLOOKUP(A165,[1]KnowledgeBase!$B:$D,3,FALSE)</f>
        <v>Journal header for credit invoicing shared between customers and vendors.</v>
      </c>
      <c r="D165" s="3" t="s">
        <v>33</v>
      </c>
      <c r="E165" s="5"/>
    </row>
    <row r="166" spans="1:5">
      <c r="A166" s="3" t="s">
        <v>344</v>
      </c>
      <c r="B166" s="4" t="s">
        <v>345</v>
      </c>
      <c r="C166" s="3" t="str">
        <f>VLOOKUP(A166,[1]KnowledgeBase!$B:$D,3,FALSE)</f>
        <v>Line details for credit invoicing journals.</v>
      </c>
      <c r="D166" s="3" t="s">
        <v>33</v>
      </c>
      <c r="E166" s="5"/>
    </row>
    <row r="167" spans="1:5">
      <c r="A167" s="3" t="s">
        <v>346</v>
      </c>
      <c r="B167" s="4" t="s">
        <v>347</v>
      </c>
      <c r="C167" s="3" t="str">
        <f>VLOOKUP(A167,[1]KnowledgeBase!$B:$D,3,FALSE)</f>
        <v>Finalized transactions for credit invoicing.</v>
      </c>
      <c r="D167" s="3" t="s">
        <v>33</v>
      </c>
      <c r="E167" s="5"/>
    </row>
    <row r="168" spans="1:5">
      <c r="A168" s="3" t="s">
        <v>348</v>
      </c>
      <c r="B168" s="4" t="s">
        <v>349</v>
      </c>
      <c r="C168" s="3" t="str">
        <f>VLOOKUP(A168,[1]KnowledgeBase!$B:$D,3,FALSE)</f>
        <v>Header for Free Text Invoices (non-Sales Order based invoices).</v>
      </c>
      <c r="D168" s="3" t="s">
        <v>33</v>
      </c>
      <c r="E168" s="5"/>
    </row>
    <row r="169" spans="1:5">
      <c r="A169" s="3" t="s">
        <v>350</v>
      </c>
      <c r="B169" s="4" t="s">
        <v>351</v>
      </c>
      <c r="C169" s="3" t="str">
        <f>VLOOKUP(A169,[1]KnowledgeBase!$B:$D,3,FALSE)</f>
        <v>Detailed lines for Free Text Invoices.</v>
      </c>
      <c r="D169" s="3" t="s">
        <v>33</v>
      </c>
      <c r="E169" s="5"/>
    </row>
    <row r="170" spans="1:5">
      <c r="A170" s="3" t="s">
        <v>352</v>
      </c>
      <c r="B170" s="4" t="s">
        <v>353</v>
      </c>
      <c r="C170" s="3" t="str">
        <f>VLOOKUP(A170,[1]KnowledgeBase!$B:$D,3,FALSE)</f>
        <v>Stores demand forecast entries for sales items.</v>
      </c>
      <c r="D170" s="3" t="s">
        <v>33</v>
      </c>
      <c r="E170" s="5"/>
    </row>
    <row r="171" ht="28.75" spans="1:5">
      <c r="A171" s="3" t="s">
        <v>354</v>
      </c>
      <c r="B171" s="4" t="s">
        <v>355</v>
      </c>
      <c r="C171" s="3" t="str">
        <f>VLOOKUP(A171,[1]KnowledgeBase!$B:$D,3,FALSE)</f>
        <v>Stores details for ledger accrual schemes (e.g., prepaid insurance spread over 12 months).</v>
      </c>
      <c r="D171" s="4" t="s">
        <v>30</v>
      </c>
      <c r="E171" s="5"/>
    </row>
    <row r="172" ht="56.75" spans="1:5">
      <c r="A172" s="3" t="s">
        <v>356</v>
      </c>
      <c r="B172" s="4" t="s">
        <v>356</v>
      </c>
      <c r="C172" s="3" t="str">
        <f>VLOOKUP(A172,[1]KnowledgeBase!$B:$D,3,FALSE)</f>
        <v>A Data Map that provides a unified interface for multiple journal header tables (like LedgerJournalTable, InventJournalTable, and ProdJournalTable). It allows the system to perform common actions on various journal types using a single set of code.</v>
      </c>
      <c r="D172" s="4" t="s">
        <v>30</v>
      </c>
      <c r="E172" s="5"/>
    </row>
    <row r="173" spans="1:5">
      <c r="A173" s="3" t="s">
        <v>357</v>
      </c>
      <c r="B173" s="4" t="s">
        <v>357</v>
      </c>
      <c r="C173" s="3" t="str">
        <f>VLOOKUP(A173,[1]KnowledgeBase!$B:$D,3,FALSE)</f>
        <v>The transaction lines associated with a LedgerJournalTable header.</v>
      </c>
      <c r="D173" s="3" t="s">
        <v>30</v>
      </c>
      <c r="E173" s="5"/>
    </row>
    <row r="174" spans="1:5">
      <c r="A174" s="3" t="s">
        <v>358</v>
      </c>
      <c r="B174" s="4" t="s">
        <v>359</v>
      </c>
      <c r="C174" s="3" t="str">
        <f>VLOOKUP(A174,[1]KnowledgeBase!$B:$D,3,FALSE)</f>
        <v>Header for a Load, which groups shipments together for transport.</v>
      </c>
      <c r="D174" s="3" t="s">
        <v>20</v>
      </c>
      <c r="E174" s="5"/>
    </row>
    <row r="175" spans="1:5">
      <c r="A175" s="3" t="s">
        <v>360</v>
      </c>
      <c r="B175" s="4" t="s">
        <v>361</v>
      </c>
      <c r="C175" s="3" t="str">
        <f>VLOOKUP(A175,[1]KnowledgeBase!$B:$D,3,FALSE)</f>
        <v>Individual items or orders attached to a specific Load.</v>
      </c>
      <c r="D175" s="3" t="s">
        <v>20</v>
      </c>
      <c r="E175" s="5"/>
    </row>
    <row r="176" spans="1:5">
      <c r="A176" s="3" t="s">
        <v>362</v>
      </c>
      <c r="B176" s="4" t="s">
        <v>363</v>
      </c>
      <c r="C176" s="3" t="str">
        <f>VLOOKUP(A176,[1]KnowledgeBase!$B:$D,3,FALSE)</f>
        <v>Archive table for historical warehouse transactions and movements.</v>
      </c>
      <c r="D176" s="3" t="s">
        <v>20</v>
      </c>
      <c r="E176" s="5"/>
    </row>
    <row r="177" ht="28.75" spans="1:5">
      <c r="A177" s="3" t="s">
        <v>364</v>
      </c>
      <c r="B177" s="4" t="s">
        <v>365</v>
      </c>
      <c r="C177" s="3" t="str">
        <f>VLOOKUP(A177,[1]KnowledgeBase!$B:$D,3,FALSE)</f>
        <v>Header for checklists used in Enterprise Asset Management (EAM) work orders.</v>
      </c>
      <c r="D177" s="3" t="s">
        <v>314</v>
      </c>
      <c r="E177" s="5"/>
    </row>
    <row r="178" spans="1:5">
      <c r="A178" s="3" t="s">
        <v>366</v>
      </c>
      <c r="B178" s="4" t="s">
        <v>367</v>
      </c>
      <c r="C178" s="3" t="str">
        <f>VLOOKUP(A178,[1]KnowledgeBase!$B:$D,3,FALSE)</f>
        <v>Individual steps or questions in an EAM checklist template.</v>
      </c>
      <c r="D178" s="3" t="s">
        <v>314</v>
      </c>
      <c r="E178" s="5"/>
    </row>
    <row r="179" spans="1:5">
      <c r="A179" s="3" t="s">
        <v>368</v>
      </c>
      <c r="B179" s="4" t="s">
        <v>369</v>
      </c>
      <c r="C179" s="3" t="str">
        <f>VLOOKUP(A179,[1]KnowledgeBase!$B:$D,3,FALSE)</f>
        <v>Default settings for specific types of maintenance jobs.</v>
      </c>
      <c r="D179" s="3" t="s">
        <v>314</v>
      </c>
      <c r="E179" s="5"/>
    </row>
    <row r="180" ht="28.75" spans="1:5">
      <c r="A180" s="3" t="s">
        <v>370</v>
      </c>
      <c r="B180" s="4" t="s">
        <v>371</v>
      </c>
      <c r="C180" s="3" t="str">
        <f>VLOOKUP(A180,[1]KnowledgeBase!$B:$D,3,FALSE)</f>
        <v>A configuration table used to categorize sales orders for easier processing.</v>
      </c>
      <c r="D180" s="3" t="s">
        <v>33</v>
      </c>
      <c r="E180" s="5"/>
    </row>
    <row r="181" spans="1:5">
      <c r="A181" s="3" t="s">
        <v>372</v>
      </c>
      <c r="B181" s="4" t="s">
        <v>373</v>
      </c>
      <c r="C181" s="3" t="str">
        <f>VLOOKUP(A181,[1]KnowledgeBase!$B:$D,3,FALSE)</f>
        <v>Line details for outbound shipment orders.</v>
      </c>
      <c r="D181" s="3" t="s">
        <v>20</v>
      </c>
      <c r="E181" s="5"/>
    </row>
    <row r="182" ht="28.75" spans="1:5">
      <c r="A182" s="3" t="s">
        <v>374</v>
      </c>
      <c r="B182" s="4" t="s">
        <v>375</v>
      </c>
      <c r="C182" s="3" t="str">
        <f>VLOOKUP(A182,[1]KnowledgeBase!$B:$D,3,FALSE)</f>
        <v>Header for outbound shipment orders used in advanced warehousing.</v>
      </c>
      <c r="D182" s="3" t="s">
        <v>20</v>
      </c>
      <c r="E182" s="5"/>
    </row>
    <row r="183" ht="28.75" spans="1:5">
      <c r="A183" s="3" t="s">
        <v>376</v>
      </c>
      <c r="B183" s="4" t="s">
        <v>377</v>
      </c>
      <c r="C183" s="3" t="str">
        <f>VLOOKUP(A183,[1]KnowledgeBase!$B:$D,3,FALSE)</f>
        <v>Defines which dimensions (Size, Color, Style, Config) are active for a product.</v>
      </c>
      <c r="D183" s="3" t="s">
        <v>378</v>
      </c>
      <c r="E183" s="5"/>
    </row>
    <row r="184" ht="42.75" spans="1:5">
      <c r="A184" s="3" t="s">
        <v>379</v>
      </c>
      <c r="B184" s="4" t="s">
        <v>380</v>
      </c>
      <c r="C184" s="3" t="str">
        <f>VLOOKUP(A184,[1]KnowledgeBase!$B:$D,3,FALSE)</f>
        <v>Stores the header definitions for product kits. it links a specific product (defined in EcoResProduct) as being a "Kit" type and manages the configuration, versioning, and status of that kit.</v>
      </c>
      <c r="D184" s="3" t="s">
        <v>378</v>
      </c>
      <c r="E184" s="5"/>
    </row>
    <row r="185" ht="28.75" spans="1:5">
      <c r="A185" s="3" t="s">
        <v>381</v>
      </c>
      <c r="B185" s="4" t="s">
        <v>382</v>
      </c>
      <c r="C185" s="3" t="str">
        <f>VLOOKUP(A185,[1]KnowledgeBase!$B:$D,3,FALSE)</f>
        <v>Stores various identification codes for a product (like GTIN or specialized IDs).</v>
      </c>
      <c r="D185" s="3" t="s">
        <v>378</v>
      </c>
      <c r="E185" s="5"/>
    </row>
    <row r="186" spans="1:5">
      <c r="A186" s="3" t="s">
        <v>383</v>
      </c>
      <c r="B186" s="4" t="s">
        <v>384</v>
      </c>
      <c r="C186" s="3" t="str">
        <f>VLOOKUP(A186,[1]KnowledgeBase!$B:$D,3,FALSE)</f>
        <v>Defines naming rules and templates for product numbering.</v>
      </c>
      <c r="D186" s="3" t="s">
        <v>378</v>
      </c>
      <c r="E186" s="5"/>
    </row>
    <row r="187" spans="1:5">
      <c r="A187" s="3" t="s">
        <v>385</v>
      </c>
      <c r="B187" s="4" t="s">
        <v>386</v>
      </c>
      <c r="C187" s="3" t="str">
        <f>VLOOKUP(A187,[1]KnowledgeBase!$B:$D,3,FALSE)</f>
        <v>Manages versioning for specific product variants.</v>
      </c>
      <c r="D187" s="3" t="s">
        <v>378</v>
      </c>
      <c r="E187" s="5"/>
    </row>
    <row r="188" ht="28.75" spans="1:5">
      <c r="A188" s="3" t="s">
        <v>387</v>
      </c>
      <c r="B188" s="4" t="s">
        <v>388</v>
      </c>
      <c r="C188" s="3" t="str">
        <f>VLOOKUP(A188,[1]KnowledgeBase!$B:$D,3,FALSE)</f>
        <v>The master table for a unique combination of dimensions (e.g., Red-Large-Cotton).</v>
      </c>
      <c r="D188" s="3" t="s">
        <v>378</v>
      </c>
      <c r="E188" s="5"/>
    </row>
    <row r="189" spans="1:5">
      <c r="A189" s="3" t="s">
        <v>389</v>
      </c>
      <c r="B189" s="4" t="s">
        <v>390</v>
      </c>
      <c r="C189" s="3" t="str">
        <f>VLOOKUP(A189,[1]KnowledgeBase!$B:$D,3,FALSE)</f>
        <v>Stores the color dimension value for a specific variant.</v>
      </c>
      <c r="D189" s="3" t="s">
        <v>378</v>
      </c>
      <c r="E189" s="5"/>
    </row>
    <row r="190" spans="1:5">
      <c r="A190" s="3" t="s">
        <v>391</v>
      </c>
      <c r="B190" s="4" t="s">
        <v>392</v>
      </c>
      <c r="C190" s="3" t="str">
        <f>VLOOKUP(A190,[1]KnowledgeBase!$B:$D,3,FALSE)</f>
        <v>Stores the configuration dimension value for a specific variant.</v>
      </c>
      <c r="D190" s="3" t="s">
        <v>378</v>
      </c>
      <c r="E190" s="5"/>
    </row>
    <row r="191" spans="1:5">
      <c r="A191" s="3" t="s">
        <v>393</v>
      </c>
      <c r="B191" s="4" t="s">
        <v>394</v>
      </c>
      <c r="C191" s="3" t="str">
        <f>VLOOKUP(A191,[1]KnowledgeBase!$B:$D,3,FALSE)</f>
        <v>Stores the size dimension value for a specific variant.</v>
      </c>
      <c r="D191" s="3" t="s">
        <v>378</v>
      </c>
      <c r="E191" s="5"/>
    </row>
    <row r="192" spans="1:5">
      <c r="A192" s="3" t="s">
        <v>395</v>
      </c>
      <c r="B192" s="4" t="s">
        <v>396</v>
      </c>
      <c r="C192" s="3" t="str">
        <f>VLOOKUP(A192,[1]KnowledgeBase!$B:$D,3,FALSE)</f>
        <v>Stores the style dimension value for a specific variant.</v>
      </c>
      <c r="D192" s="3" t="s">
        <v>378</v>
      </c>
      <c r="E192" s="5"/>
    </row>
    <row r="193" ht="28.75" spans="1:5">
      <c r="A193" s="3" t="s">
        <v>397</v>
      </c>
      <c r="B193" s="4" t="s">
        <v>398</v>
      </c>
      <c r="C193" s="3" t="str">
        <f>VLOOKUP(A193,[1]KnowledgeBase!$B:$D,3,FALSE)</f>
        <v>The Bill of Materials for a specific Production Order (raw materials needed).</v>
      </c>
      <c r="D193" s="3" t="s">
        <v>20</v>
      </c>
      <c r="E193" s="5"/>
    </row>
    <row r="194" ht="28.75" spans="1:5">
      <c r="A194" s="3" t="s">
        <v>399</v>
      </c>
      <c r="B194" s="4" t="s">
        <v>400</v>
      </c>
      <c r="C194" s="3" t="str">
        <f>VLOOKUP(A194,[1]KnowledgeBase!$B:$D,3,FALSE)</f>
        <v>Logs details of materials reported as scrap during production orders.</v>
      </c>
      <c r="D194" s="3" t="s">
        <v>20</v>
      </c>
      <c r="E194" s="5"/>
    </row>
    <row r="195" spans="1:5">
      <c r="A195" s="3" t="s">
        <v>401</v>
      </c>
      <c r="B195" s="4" t="s">
        <v>402</v>
      </c>
      <c r="C195" s="3" t="str">
        <f>VLOOKUP(A195,[1]KnowledgeBase!$B:$D,3,FALSE)</f>
        <v>Associates a specific product with a Product Dimension Group.</v>
      </c>
      <c r="D195" s="3" t="s">
        <v>378</v>
      </c>
      <c r="E195" s="5"/>
    </row>
    <row r="196" ht="28.75" spans="1:5">
      <c r="A196" s="3" t="s">
        <v>403</v>
      </c>
      <c r="B196" s="4" t="s">
        <v>404</v>
      </c>
      <c r="C196" s="3" t="str">
        <f>VLOOKUP(A196,[1]KnowledgeBase!$B:$D,3,FALSE)</f>
        <v>Associates a product with a Storage Group (Site, Warehouse, Location).</v>
      </c>
      <c r="D196" s="3" t="s">
        <v>378</v>
      </c>
      <c r="E196" s="5"/>
    </row>
    <row r="197" ht="28.75" spans="1:5">
      <c r="A197" s="3" t="s">
        <v>405</v>
      </c>
      <c r="B197" s="4" t="s">
        <v>406</v>
      </c>
      <c r="C197" s="3" t="str">
        <f>VLOOKUP(A197,[1]KnowledgeBase!$B:$D,3,FALSE)</f>
        <v>Associates a product with a Tracking Group (Serial number, Batch number).</v>
      </c>
      <c r="D197" s="3" t="s">
        <v>378</v>
      </c>
      <c r="E197" s="5"/>
    </row>
    <row r="198" ht="28.75" spans="1:5">
      <c r="A198" s="3" t="s">
        <v>407</v>
      </c>
      <c r="B198" s="4" t="s">
        <v>408</v>
      </c>
      <c r="C198" s="3" t="str">
        <f>VLOOKUP(A198,[1]KnowledgeBase!$B:$D,3,FALSE)</f>
        <v>Records of project transactions that have been allocated to other accounts.</v>
      </c>
      <c r="D198" s="3" t="s">
        <v>190</v>
      </c>
      <c r="E198" s="5"/>
    </row>
    <row r="199" ht="28.75" spans="1:5">
      <c r="A199" s="3" t="s">
        <v>409</v>
      </c>
      <c r="B199" s="4" t="s">
        <v>410</v>
      </c>
      <c r="C199" s="3" t="str">
        <f>VLOOKUP(A199,[1]KnowledgeBase!$B:$D,3,FALSE)</f>
        <v>Tracks how project amounts are split across different financial dimensions.</v>
      </c>
      <c r="D199" s="3" t="s">
        <v>190</v>
      </c>
      <c r="E199" s="5"/>
    </row>
    <row r="200" spans="1:5">
      <c r="A200" s="3" t="s">
        <v>411</v>
      </c>
      <c r="B200" s="4" t="s">
        <v>412</v>
      </c>
      <c r="C200" s="3" t="str">
        <f>VLOOKUP(A200,[1]KnowledgeBase!$B:$D,3,FALSE)</f>
        <v>Historical record of all invoices issued for projects.</v>
      </c>
      <c r="D200" s="3" t="s">
        <v>190</v>
      </c>
      <c r="E200" s="5"/>
    </row>
    <row r="201" spans="1:5">
      <c r="A201" s="3" t="s">
        <v>413</v>
      </c>
      <c r="B201" s="4" t="s">
        <v>414</v>
      </c>
      <c r="C201" s="3" t="str">
        <f>VLOOKUP(A201,[1]KnowledgeBase!$B:$D,3,FALSE)</f>
        <v>Detailed transactions for project journals.</v>
      </c>
      <c r="D201" s="3" t="s">
        <v>190</v>
      </c>
      <c r="E201" s="5"/>
    </row>
    <row r="202" spans="1:5">
      <c r="A202" s="3" t="s">
        <v>415</v>
      </c>
      <c r="B202" s="4" t="s">
        <v>416</v>
      </c>
      <c r="C202" s="3" t="str">
        <f>VLOOKUP(A202,[1]KnowledgeBase!$B:$D,3,FALSE)</f>
        <v>Header for project-related journals (Hours, Expenses, Fees, Items).</v>
      </c>
      <c r="D202" s="3" t="s">
        <v>190</v>
      </c>
      <c r="E202" s="5"/>
    </row>
    <row r="203" spans="1:5">
      <c r="A203" s="3" t="s">
        <v>417</v>
      </c>
      <c r="B203" s="4" t="s">
        <v>418</v>
      </c>
      <c r="C203" s="3" t="str">
        <f>VLOOKUP(A203,[1]KnowledgeBase!$B:$D,3,FALSE)</f>
        <v>Used to group purchase orders for filtering and reporting.</v>
      </c>
      <c r="D203" s="3" t="s">
        <v>211</v>
      </c>
      <c r="E203" s="5"/>
    </row>
    <row r="204" spans="1:5">
      <c r="A204" s="3" t="s">
        <v>419</v>
      </c>
      <c r="B204" s="4" t="s">
        <v>420</v>
      </c>
      <c r="C204" s="3" t="str">
        <f>VLOOKUP(A204,[1]KnowledgeBase!$B:$D,3,FALSE)</f>
        <v>Stores the business justification text for a Purchase Requisition.</v>
      </c>
      <c r="D204" s="3" t="s">
        <v>211</v>
      </c>
      <c r="E204" s="5"/>
    </row>
    <row r="205" spans="1:5">
      <c r="A205" s="3" t="s">
        <v>421</v>
      </c>
      <c r="B205" s="4" t="s">
        <v>217</v>
      </c>
      <c r="C205" s="3" t="str">
        <f>VLOOKUP(A205,[1]KnowledgeBase!$B:$D,3,FALSE)</f>
        <v>Audit trail of changes made to Purchase Requisition lines.</v>
      </c>
      <c r="D205" s="3" t="s">
        <v>211</v>
      </c>
      <c r="E205" s="5"/>
    </row>
    <row r="206" spans="1:5">
      <c r="A206" s="3" t="s">
        <v>422</v>
      </c>
      <c r="B206" s="4" t="s">
        <v>423</v>
      </c>
      <c r="C206" s="3" t="str">
        <f>VLOOKUP(A206,[1]KnowledgeBase!$B:$D,3,FALSE)</f>
        <v>Line details for the Vendor Receipts List.</v>
      </c>
      <c r="D206" s="3" t="s">
        <v>211</v>
      </c>
      <c r="E206" s="5"/>
    </row>
    <row r="207" ht="28.75" spans="1:5">
      <c r="A207" s="3" t="s">
        <v>424</v>
      </c>
      <c r="B207" s="4" t="s">
        <v>425</v>
      </c>
      <c r="C207" s="3" t="str">
        <f>VLOOKUP(A207,[1]KnowledgeBase!$B:$D,3,FALSE)</f>
        <v>Configuration for production resources (machines, humans, or tools).</v>
      </c>
      <c r="D207" s="3" t="s">
        <v>20</v>
      </c>
      <c r="E207" s="5"/>
    </row>
    <row r="208" ht="126.75" spans="1:5">
      <c r="A208" s="3" t="s">
        <v>426</v>
      </c>
      <c r="B208" s="4" t="s">
        <v>427</v>
      </c>
      <c r="C208" s="3" t="str">
        <f>VLOOKUP(A208,[1]KnowledgeBase!$B:$D,3,FALSE)</f>
        <v>The global repository for all units (Pounds, Kilograms, Each, etc.).
Rules:
1. The InventTable defines the "Base Unit" (the lowest common denominator). If a Purch/SalesLine is created in "Pallets" but the InventTable is in "Each," the system looks at the UnitOfMeasureConversion table to find a conversion factor. Hierarchy: Product-specific conversion: Check if there is a rule specifically for ItemId X &gt; Standard conversion: If no product rule exists, use the global rule (e.g., 1 kg = 1000 g).</v>
      </c>
      <c r="D208" s="3" t="s">
        <v>378</v>
      </c>
      <c r="E208" s="5"/>
    </row>
    <row r="209" ht="70.75" spans="1:4">
      <c r="A209" s="6" t="s">
        <v>428</v>
      </c>
      <c r="B209" s="6" t="s">
        <v>429</v>
      </c>
      <c r="C209" s="7" t="s">
        <v>430</v>
      </c>
      <c r="D209" s="6" t="s">
        <v>378</v>
      </c>
    </row>
    <row r="210" ht="42.75" spans="1:4">
      <c r="A210" s="6" t="s">
        <v>431</v>
      </c>
      <c r="B210" s="6" t="s">
        <v>432</v>
      </c>
      <c r="C210" s="7" t="s">
        <v>433</v>
      </c>
      <c r="D210" s="6" t="s">
        <v>434</v>
      </c>
    </row>
    <row r="211" ht="42.75" spans="1:4">
      <c r="A211" s="6" t="s">
        <v>435</v>
      </c>
      <c r="B211" s="6" t="s">
        <v>436</v>
      </c>
      <c r="C211" s="7" t="s">
        <v>437</v>
      </c>
      <c r="D211" s="6" t="s">
        <v>438</v>
      </c>
    </row>
    <row r="212" ht="42.75" spans="1:4">
      <c r="A212" s="6" t="s">
        <v>439</v>
      </c>
      <c r="B212" s="6" t="s">
        <v>440</v>
      </c>
      <c r="C212" s="7" t="s">
        <v>441</v>
      </c>
      <c r="D212" s="6" t="s">
        <v>442</v>
      </c>
    </row>
    <row r="213" ht="84.75" spans="1:4">
      <c r="A213" s="6" t="s">
        <v>443</v>
      </c>
      <c r="B213" s="6" t="s">
        <v>444</v>
      </c>
      <c r="C213" s="7" t="s">
        <v>445</v>
      </c>
      <c r="D213" s="6" t="s">
        <v>446</v>
      </c>
    </row>
    <row r="214" ht="70.75" spans="1:4">
      <c r="A214" s="6" t="s">
        <v>447</v>
      </c>
      <c r="B214" s="6" t="s">
        <v>448</v>
      </c>
      <c r="C214" s="7" t="s">
        <v>449</v>
      </c>
      <c r="D214" s="6" t="s">
        <v>450</v>
      </c>
    </row>
    <row r="215" ht="42.75" spans="1:4">
      <c r="A215" s="6" t="s">
        <v>451</v>
      </c>
      <c r="B215" s="6" t="s">
        <v>452</v>
      </c>
      <c r="C215" s="7" t="s">
        <v>453</v>
      </c>
      <c r="D215" s="6" t="s">
        <v>452</v>
      </c>
    </row>
    <row r="216" ht="84.75" spans="1:4">
      <c r="A216" s="6" t="s">
        <v>454</v>
      </c>
      <c r="B216" s="6" t="s">
        <v>455</v>
      </c>
      <c r="C216" s="7" t="s">
        <v>456</v>
      </c>
      <c r="D216" s="6" t="s">
        <v>455</v>
      </c>
    </row>
    <row r="217" ht="56.75" spans="1:4">
      <c r="A217" s="6" t="s">
        <v>457</v>
      </c>
      <c r="B217" s="6" t="s">
        <v>458</v>
      </c>
      <c r="C217" s="7" t="s">
        <v>459</v>
      </c>
      <c r="D217" s="6" t="s">
        <v>460</v>
      </c>
    </row>
    <row r="218" ht="84.75" spans="1:4">
      <c r="A218" s="6" t="s">
        <v>461</v>
      </c>
      <c r="B218" s="6" t="s">
        <v>462</v>
      </c>
      <c r="C218" s="7" t="s">
        <v>463</v>
      </c>
      <c r="D218" s="6" t="s">
        <v>464</v>
      </c>
    </row>
    <row r="219" ht="70.75" spans="1:4">
      <c r="A219" s="6" t="s">
        <v>465</v>
      </c>
      <c r="B219" s="6" t="s">
        <v>466</v>
      </c>
      <c r="C219" s="7" t="s">
        <v>467</v>
      </c>
      <c r="D219" s="6" t="s">
        <v>466</v>
      </c>
    </row>
    <row r="220" ht="70.75" spans="1:4">
      <c r="A220" s="6" t="s">
        <v>468</v>
      </c>
      <c r="B220" s="6" t="s">
        <v>469</v>
      </c>
      <c r="C220" s="7" t="s">
        <v>470</v>
      </c>
      <c r="D220" s="6" t="s">
        <v>469</v>
      </c>
    </row>
    <row r="221" ht="84.75" spans="1:4">
      <c r="A221" s="6" t="s">
        <v>471</v>
      </c>
      <c r="B221" s="6" t="s">
        <v>472</v>
      </c>
      <c r="C221" s="7" t="s">
        <v>473</v>
      </c>
      <c r="D221" s="6" t="s">
        <v>474</v>
      </c>
    </row>
    <row r="222" ht="84.75" spans="1:4">
      <c r="A222" s="6" t="s">
        <v>475</v>
      </c>
      <c r="B222" s="6" t="s">
        <v>476</v>
      </c>
      <c r="C222" s="7" t="s">
        <v>477</v>
      </c>
      <c r="D222" s="6" t="s">
        <v>478</v>
      </c>
    </row>
    <row r="223" ht="70.75" spans="1:4">
      <c r="A223" s="6" t="s">
        <v>479</v>
      </c>
      <c r="B223" s="6" t="s">
        <v>480</v>
      </c>
      <c r="C223" s="7" t="s">
        <v>481</v>
      </c>
      <c r="D223" s="6" t="s">
        <v>482</v>
      </c>
    </row>
    <row r="224" ht="70.75" spans="1:4">
      <c r="A224" s="6" t="s">
        <v>207</v>
      </c>
      <c r="B224" s="6" t="s">
        <v>208</v>
      </c>
      <c r="C224" s="7" t="s">
        <v>483</v>
      </c>
      <c r="D224" s="6" t="s">
        <v>484</v>
      </c>
    </row>
    <row r="225" ht="28.75" spans="1:4">
      <c r="A225" s="6" t="s">
        <v>485</v>
      </c>
      <c r="B225" s="6" t="s">
        <v>486</v>
      </c>
      <c r="C225" s="7" t="s">
        <v>487</v>
      </c>
      <c r="D225" s="6" t="s">
        <v>488</v>
      </c>
    </row>
    <row r="226" ht="28.75" spans="1:4">
      <c r="A226" s="6" t="s">
        <v>489</v>
      </c>
      <c r="B226" s="6" t="s">
        <v>490</v>
      </c>
      <c r="C226" s="7" t="s">
        <v>491</v>
      </c>
      <c r="D226" s="6" t="s">
        <v>492</v>
      </c>
    </row>
    <row r="227" ht="70.75" spans="1:4">
      <c r="A227" s="6" t="s">
        <v>493</v>
      </c>
      <c r="B227" s="6" t="s">
        <v>494</v>
      </c>
      <c r="C227" s="7" t="s">
        <v>495</v>
      </c>
      <c r="D227" s="6" t="s">
        <v>496</v>
      </c>
    </row>
    <row r="228" ht="42.75" spans="1:4">
      <c r="A228" s="6" t="s">
        <v>497</v>
      </c>
      <c r="B228" s="6" t="s">
        <v>498</v>
      </c>
      <c r="C228" s="7" t="s">
        <v>499</v>
      </c>
      <c r="D228" s="6" t="s">
        <v>500</v>
      </c>
    </row>
    <row r="229" ht="42.75" spans="1:4">
      <c r="A229" s="6" t="s">
        <v>501</v>
      </c>
      <c r="B229" s="6" t="s">
        <v>502</v>
      </c>
      <c r="C229" s="7" t="s">
        <v>503</v>
      </c>
      <c r="D229" s="6" t="s">
        <v>504</v>
      </c>
    </row>
    <row r="230" ht="42.75" spans="1:4">
      <c r="A230" s="8" t="s">
        <v>505</v>
      </c>
      <c r="B230" s="6" t="s">
        <v>506</v>
      </c>
      <c r="C230" s="7" t="s">
        <v>507</v>
      </c>
      <c r="D230" s="6" t="s">
        <v>508</v>
      </c>
    </row>
    <row r="231" ht="42.75" spans="1:4">
      <c r="A231" s="6" t="s">
        <v>509</v>
      </c>
      <c r="B231" s="6" t="s">
        <v>510</v>
      </c>
      <c r="C231" s="7" t="s">
        <v>511</v>
      </c>
      <c r="D231" s="6" t="s">
        <v>512</v>
      </c>
    </row>
    <row r="232" ht="42.75" spans="1:4">
      <c r="A232" s="6" t="s">
        <v>513</v>
      </c>
      <c r="B232" s="6" t="s">
        <v>514</v>
      </c>
      <c r="C232" s="7" t="s">
        <v>515</v>
      </c>
      <c r="D232" s="6" t="s">
        <v>516</v>
      </c>
    </row>
    <row r="233" ht="42.75" spans="1:4">
      <c r="A233" s="6" t="s">
        <v>517</v>
      </c>
      <c r="B233" s="6" t="s">
        <v>518</v>
      </c>
      <c r="C233" s="7" t="s">
        <v>519</v>
      </c>
      <c r="D233" s="6" t="s">
        <v>520</v>
      </c>
    </row>
    <row r="234" ht="42.75" spans="1:4">
      <c r="A234" s="6" t="s">
        <v>521</v>
      </c>
      <c r="B234" s="6" t="s">
        <v>522</v>
      </c>
      <c r="C234" s="7" t="s">
        <v>523</v>
      </c>
      <c r="D234" s="6" t="s">
        <v>524</v>
      </c>
    </row>
    <row r="235" ht="42.75" spans="1:4">
      <c r="A235" s="6" t="s">
        <v>525</v>
      </c>
      <c r="B235" s="6" t="s">
        <v>526</v>
      </c>
      <c r="C235" s="7" t="s">
        <v>527</v>
      </c>
      <c r="D235" s="6" t="s">
        <v>528</v>
      </c>
    </row>
    <row r="236" ht="42.75" spans="1:4">
      <c r="A236" s="6" t="s">
        <v>529</v>
      </c>
      <c r="B236" s="6" t="s">
        <v>530</v>
      </c>
      <c r="C236" s="7" t="s">
        <v>531</v>
      </c>
      <c r="D236" s="6" t="s">
        <v>532</v>
      </c>
    </row>
    <row r="237" ht="42.75" spans="1:4">
      <c r="A237" s="6" t="s">
        <v>533</v>
      </c>
      <c r="B237" s="6" t="s">
        <v>534</v>
      </c>
      <c r="C237" s="7" t="s">
        <v>535</v>
      </c>
      <c r="D237" s="6" t="s">
        <v>536</v>
      </c>
    </row>
    <row r="238" ht="70.75" spans="1:4">
      <c r="A238" s="6" t="s">
        <v>537</v>
      </c>
      <c r="B238" s="6" t="s">
        <v>538</v>
      </c>
      <c r="C238" s="7" t="s">
        <v>539</v>
      </c>
      <c r="D238" s="6" t="s">
        <v>540</v>
      </c>
    </row>
    <row r="239" ht="42.75" spans="1:4">
      <c r="A239" s="6" t="s">
        <v>541</v>
      </c>
      <c r="B239" s="6" t="s">
        <v>542</v>
      </c>
      <c r="C239" s="7" t="s">
        <v>543</v>
      </c>
      <c r="D239" s="6" t="s">
        <v>544</v>
      </c>
    </row>
    <row r="240" ht="56.75" spans="1:4">
      <c r="A240" s="6" t="s">
        <v>545</v>
      </c>
      <c r="B240" s="6" t="s">
        <v>169</v>
      </c>
      <c r="C240" s="7" t="s">
        <v>546</v>
      </c>
      <c r="D240" s="6" t="s">
        <v>547</v>
      </c>
    </row>
    <row r="241" ht="42.75" spans="1:4">
      <c r="A241" s="6" t="s">
        <v>548</v>
      </c>
      <c r="B241" s="6" t="s">
        <v>549</v>
      </c>
      <c r="C241" s="7" t="s">
        <v>550</v>
      </c>
      <c r="D241" s="6" t="s">
        <v>551</v>
      </c>
    </row>
    <row r="242" ht="56.75" spans="1:4">
      <c r="A242" s="6" t="s">
        <v>552</v>
      </c>
      <c r="B242" s="6" t="s">
        <v>553</v>
      </c>
      <c r="C242" s="7" t="s">
        <v>554</v>
      </c>
      <c r="D242" s="6" t="s">
        <v>555</v>
      </c>
    </row>
    <row r="243" ht="42.75" spans="1:4">
      <c r="A243" s="6" t="s">
        <v>556</v>
      </c>
      <c r="B243" s="6"/>
      <c r="C243" s="7" t="s">
        <v>557</v>
      </c>
      <c r="D243" s="6" t="s">
        <v>558</v>
      </c>
    </row>
    <row r="244" ht="56.75" spans="1:4">
      <c r="A244" s="6" t="s">
        <v>559</v>
      </c>
      <c r="B244" s="6" t="s">
        <v>560</v>
      </c>
      <c r="C244" s="7" t="s">
        <v>561</v>
      </c>
      <c r="D244" s="6" t="s">
        <v>560</v>
      </c>
    </row>
    <row r="245" ht="56.75" spans="1:4">
      <c r="A245" s="6" t="s">
        <v>562</v>
      </c>
      <c r="B245" s="6" t="s">
        <v>563</v>
      </c>
      <c r="C245" s="7" t="s">
        <v>564</v>
      </c>
      <c r="D245" s="6" t="s">
        <v>563</v>
      </c>
    </row>
    <row r="246" ht="56.75" spans="1:4">
      <c r="A246" s="6" t="s">
        <v>565</v>
      </c>
      <c r="B246" s="6" t="s">
        <v>566</v>
      </c>
      <c r="C246" s="7" t="s">
        <v>567</v>
      </c>
      <c r="D246" s="6" t="s">
        <v>566</v>
      </c>
    </row>
    <row r="247" ht="56.75" spans="1:4">
      <c r="A247" s="6" t="s">
        <v>568</v>
      </c>
      <c r="B247" s="6" t="s">
        <v>569</v>
      </c>
      <c r="C247" s="7" t="s">
        <v>570</v>
      </c>
      <c r="D247" s="6" t="s">
        <v>569</v>
      </c>
    </row>
    <row r="248" ht="28.75" spans="1:4">
      <c r="A248" s="6" t="s">
        <v>130</v>
      </c>
      <c r="B248" s="6" t="s">
        <v>131</v>
      </c>
      <c r="C248" s="7" t="s">
        <v>571</v>
      </c>
      <c r="D248" s="6" t="s">
        <v>131</v>
      </c>
    </row>
    <row r="249" ht="42.75" spans="1:4">
      <c r="A249" s="6" t="s">
        <v>132</v>
      </c>
      <c r="B249" s="6" t="s">
        <v>133</v>
      </c>
      <c r="C249" s="7" t="s">
        <v>572</v>
      </c>
      <c r="D249" s="6" t="s">
        <v>573</v>
      </c>
    </row>
    <row r="250" ht="42.75" spans="1:4">
      <c r="A250" s="6" t="s">
        <v>128</v>
      </c>
      <c r="B250" s="6" t="s">
        <v>129</v>
      </c>
      <c r="C250" s="7" t="s">
        <v>574</v>
      </c>
      <c r="D250" s="6" t="s">
        <v>129</v>
      </c>
    </row>
    <row r="251" ht="42.75" spans="1:4">
      <c r="A251" s="6" t="s">
        <v>575</v>
      </c>
      <c r="B251" s="6" t="s">
        <v>576</v>
      </c>
      <c r="C251" s="7" t="s">
        <v>577</v>
      </c>
      <c r="D251" s="6" t="s">
        <v>576</v>
      </c>
    </row>
    <row r="252" ht="42.75" spans="1:4">
      <c r="A252" s="6" t="s">
        <v>578</v>
      </c>
      <c r="B252" s="6" t="s">
        <v>579</v>
      </c>
      <c r="C252" s="7" t="s">
        <v>580</v>
      </c>
      <c r="D252" s="6" t="s">
        <v>579</v>
      </c>
    </row>
    <row r="253" ht="70.75" spans="1:4">
      <c r="A253" s="6" t="s">
        <v>581</v>
      </c>
      <c r="B253" s="6" t="s">
        <v>582</v>
      </c>
      <c r="C253" s="7" t="s">
        <v>583</v>
      </c>
      <c r="D253" s="6" t="s">
        <v>584</v>
      </c>
    </row>
    <row r="254" ht="28.75" spans="1:4">
      <c r="A254" s="6" t="s">
        <v>585</v>
      </c>
      <c r="B254" s="6" t="s">
        <v>586</v>
      </c>
      <c r="C254" s="7" t="s">
        <v>587</v>
      </c>
      <c r="D254" s="6" t="s">
        <v>588</v>
      </c>
    </row>
    <row r="255" ht="42.75" spans="1:4">
      <c r="A255" s="6" t="s">
        <v>589</v>
      </c>
      <c r="B255" s="6" t="s">
        <v>590</v>
      </c>
      <c r="C255" s="7" t="s">
        <v>591</v>
      </c>
      <c r="D255" s="6" t="s">
        <v>590</v>
      </c>
    </row>
    <row r="256" ht="28.75" spans="1:4">
      <c r="A256" s="6" t="s">
        <v>592</v>
      </c>
      <c r="B256" s="6" t="s">
        <v>593</v>
      </c>
      <c r="C256" s="7" t="s">
        <v>594</v>
      </c>
      <c r="D256" s="6" t="s">
        <v>593</v>
      </c>
    </row>
    <row r="257" ht="56.75" spans="1:4">
      <c r="A257" s="6" t="s">
        <v>595</v>
      </c>
      <c r="B257" s="6" t="s">
        <v>596</v>
      </c>
      <c r="C257" s="7" t="s">
        <v>597</v>
      </c>
      <c r="D257" s="6" t="s">
        <v>598</v>
      </c>
    </row>
    <row r="258" ht="28.75" spans="1:4">
      <c r="A258" s="6" t="s">
        <v>599</v>
      </c>
      <c r="B258" s="6" t="s">
        <v>600</v>
      </c>
      <c r="C258" s="7" t="s">
        <v>601</v>
      </c>
      <c r="D258" s="6" t="s">
        <v>602</v>
      </c>
    </row>
    <row r="259" ht="28.75" spans="1:4">
      <c r="A259" s="9" t="s">
        <v>603</v>
      </c>
      <c r="B259" s="6" t="s">
        <v>604</v>
      </c>
      <c r="C259" s="7" t="s">
        <v>605</v>
      </c>
      <c r="D259" s="6" t="s">
        <v>604</v>
      </c>
    </row>
    <row r="260" ht="56.75" spans="1:4">
      <c r="A260" s="6" t="s">
        <v>606</v>
      </c>
      <c r="B260" s="6" t="s">
        <v>607</v>
      </c>
      <c r="C260" s="7" t="s">
        <v>608</v>
      </c>
      <c r="D260" s="6" t="s">
        <v>607</v>
      </c>
    </row>
    <row r="261" ht="56.75" spans="1:4">
      <c r="A261" s="6" t="s">
        <v>609</v>
      </c>
      <c r="B261" s="6" t="s">
        <v>610</v>
      </c>
      <c r="C261" s="7" t="s">
        <v>611</v>
      </c>
      <c r="D261" s="6" t="s">
        <v>612</v>
      </c>
    </row>
    <row r="262" ht="56.75" spans="1:4">
      <c r="A262" s="6" t="s">
        <v>613</v>
      </c>
      <c r="B262" s="6" t="s">
        <v>614</v>
      </c>
      <c r="C262" s="7" t="s">
        <v>615</v>
      </c>
      <c r="D262" s="6" t="s">
        <v>614</v>
      </c>
    </row>
    <row r="263" ht="42.75" spans="1:4">
      <c r="A263" s="6" t="s">
        <v>616</v>
      </c>
      <c r="B263" s="6" t="s">
        <v>617</v>
      </c>
      <c r="C263" s="7" t="s">
        <v>618</v>
      </c>
      <c r="D263" s="6" t="s">
        <v>617</v>
      </c>
    </row>
    <row r="264" ht="42.75" spans="1:4">
      <c r="A264" s="6" t="s">
        <v>619</v>
      </c>
      <c r="B264" s="6" t="s">
        <v>620</v>
      </c>
      <c r="C264" s="7" t="s">
        <v>621</v>
      </c>
      <c r="D264" s="6" t="s">
        <v>620</v>
      </c>
    </row>
    <row r="265" ht="28.75" spans="1:4">
      <c r="A265" s="6" t="s">
        <v>622</v>
      </c>
      <c r="B265" s="6" t="s">
        <v>623</v>
      </c>
      <c r="C265" s="7" t="s">
        <v>624</v>
      </c>
      <c r="D265" s="6" t="s">
        <v>623</v>
      </c>
    </row>
    <row r="266" ht="28.75" spans="1:4">
      <c r="A266" s="6" t="s">
        <v>260</v>
      </c>
      <c r="B266" s="6" t="s">
        <v>261</v>
      </c>
      <c r="C266" s="7" t="s">
        <v>625</v>
      </c>
      <c r="D266" s="6" t="s">
        <v>626</v>
      </c>
    </row>
  </sheetData>
  <conditionalFormatting sqref="A149">
    <cfRule type="duplicateValues" dxfId="0" priority="63"/>
  </conditionalFormatting>
  <conditionalFormatting sqref="A150">
    <cfRule type="duplicateValues" dxfId="0" priority="62"/>
  </conditionalFormatting>
  <conditionalFormatting sqref="A151">
    <cfRule type="duplicateValues" dxfId="0" priority="61"/>
  </conditionalFormatting>
  <conditionalFormatting sqref="A152">
    <cfRule type="duplicateValues" dxfId="0" priority="60"/>
  </conditionalFormatting>
  <conditionalFormatting sqref="A153">
    <cfRule type="duplicateValues" dxfId="0" priority="59"/>
  </conditionalFormatting>
  <conditionalFormatting sqref="A154">
    <cfRule type="duplicateValues" dxfId="0" priority="58"/>
  </conditionalFormatting>
  <conditionalFormatting sqref="A155">
    <cfRule type="duplicateValues" dxfId="0" priority="57"/>
  </conditionalFormatting>
  <conditionalFormatting sqref="A156">
    <cfRule type="duplicateValues" dxfId="0" priority="56"/>
  </conditionalFormatting>
  <conditionalFormatting sqref="A157">
    <cfRule type="duplicateValues" dxfId="0" priority="55"/>
  </conditionalFormatting>
  <conditionalFormatting sqref="A158">
    <cfRule type="duplicateValues" dxfId="0" priority="54"/>
  </conditionalFormatting>
  <conditionalFormatting sqref="A159">
    <cfRule type="duplicateValues" dxfId="0" priority="53"/>
  </conditionalFormatting>
  <conditionalFormatting sqref="A160">
    <cfRule type="duplicateValues" dxfId="0" priority="52"/>
  </conditionalFormatting>
  <conditionalFormatting sqref="A161">
    <cfRule type="duplicateValues" dxfId="0" priority="51"/>
  </conditionalFormatting>
  <conditionalFormatting sqref="A162">
    <cfRule type="duplicateValues" dxfId="0" priority="50"/>
  </conditionalFormatting>
  <conditionalFormatting sqref="A163">
    <cfRule type="duplicateValues" dxfId="0" priority="49"/>
  </conditionalFormatting>
  <conditionalFormatting sqref="A164">
    <cfRule type="duplicateValues" dxfId="0" priority="48"/>
  </conditionalFormatting>
  <conditionalFormatting sqref="A165">
    <cfRule type="duplicateValues" dxfId="0" priority="47"/>
  </conditionalFormatting>
  <conditionalFormatting sqref="A166">
    <cfRule type="duplicateValues" dxfId="0" priority="46"/>
  </conditionalFormatting>
  <conditionalFormatting sqref="A167">
    <cfRule type="duplicateValues" dxfId="0" priority="45"/>
  </conditionalFormatting>
  <conditionalFormatting sqref="A168">
    <cfRule type="duplicateValues" dxfId="0" priority="44"/>
  </conditionalFormatting>
  <conditionalFormatting sqref="A169">
    <cfRule type="duplicateValues" dxfId="0" priority="43"/>
  </conditionalFormatting>
  <conditionalFormatting sqref="A170">
    <cfRule type="duplicateValues" dxfId="0" priority="42"/>
  </conditionalFormatting>
  <conditionalFormatting sqref="A171">
    <cfRule type="duplicateValues" dxfId="0" priority="41"/>
  </conditionalFormatting>
  <conditionalFormatting sqref="A172">
    <cfRule type="duplicateValues" dxfId="0" priority="40"/>
  </conditionalFormatting>
  <conditionalFormatting sqref="A173">
    <cfRule type="duplicateValues" dxfId="0" priority="39"/>
  </conditionalFormatting>
  <conditionalFormatting sqref="A174">
    <cfRule type="duplicateValues" dxfId="0" priority="38"/>
  </conditionalFormatting>
  <conditionalFormatting sqref="A175">
    <cfRule type="duplicateValues" dxfId="0" priority="37"/>
  </conditionalFormatting>
  <conditionalFormatting sqref="A176">
    <cfRule type="duplicateValues" dxfId="0" priority="36"/>
  </conditionalFormatting>
  <conditionalFormatting sqref="A177">
    <cfRule type="duplicateValues" dxfId="0" priority="35"/>
  </conditionalFormatting>
  <conditionalFormatting sqref="A178">
    <cfRule type="duplicateValues" dxfId="0" priority="34"/>
  </conditionalFormatting>
  <conditionalFormatting sqref="A179">
    <cfRule type="duplicateValues" dxfId="0" priority="33"/>
  </conditionalFormatting>
  <conditionalFormatting sqref="A180">
    <cfRule type="duplicateValues" dxfId="0" priority="32"/>
  </conditionalFormatting>
  <conditionalFormatting sqref="A181">
    <cfRule type="duplicateValues" dxfId="0" priority="31"/>
  </conditionalFormatting>
  <conditionalFormatting sqref="A182">
    <cfRule type="duplicateValues" dxfId="0" priority="30"/>
  </conditionalFormatting>
  <conditionalFormatting sqref="A183">
    <cfRule type="duplicateValues" dxfId="0" priority="29"/>
  </conditionalFormatting>
  <conditionalFormatting sqref="A184">
    <cfRule type="duplicateValues" dxfId="0" priority="28"/>
  </conditionalFormatting>
  <conditionalFormatting sqref="A185">
    <cfRule type="duplicateValues" dxfId="0" priority="27"/>
  </conditionalFormatting>
  <conditionalFormatting sqref="A186">
    <cfRule type="duplicateValues" dxfId="0" priority="26"/>
  </conditionalFormatting>
  <conditionalFormatting sqref="A187">
    <cfRule type="duplicateValues" dxfId="0" priority="25"/>
  </conditionalFormatting>
  <conditionalFormatting sqref="A188">
    <cfRule type="duplicateValues" dxfId="0" priority="24"/>
  </conditionalFormatting>
  <conditionalFormatting sqref="A189">
    <cfRule type="duplicateValues" dxfId="0" priority="23"/>
  </conditionalFormatting>
  <conditionalFormatting sqref="A190">
    <cfRule type="duplicateValues" dxfId="0" priority="22"/>
  </conditionalFormatting>
  <conditionalFormatting sqref="A191">
    <cfRule type="duplicateValues" dxfId="0" priority="21"/>
  </conditionalFormatting>
  <conditionalFormatting sqref="A192">
    <cfRule type="duplicateValues" dxfId="0" priority="20"/>
  </conditionalFormatting>
  <conditionalFormatting sqref="A193">
    <cfRule type="duplicateValues" dxfId="0" priority="19"/>
  </conditionalFormatting>
  <conditionalFormatting sqref="A194">
    <cfRule type="duplicateValues" dxfId="0" priority="18"/>
  </conditionalFormatting>
  <conditionalFormatting sqref="A195">
    <cfRule type="duplicateValues" dxfId="0" priority="17"/>
  </conditionalFormatting>
  <conditionalFormatting sqref="A196">
    <cfRule type="duplicateValues" dxfId="0" priority="16"/>
  </conditionalFormatting>
  <conditionalFormatting sqref="A197">
    <cfRule type="duplicateValues" dxfId="0" priority="15"/>
  </conditionalFormatting>
  <conditionalFormatting sqref="A198">
    <cfRule type="duplicateValues" dxfId="0" priority="14"/>
  </conditionalFormatting>
  <conditionalFormatting sqref="A199">
    <cfRule type="duplicateValues" dxfId="0" priority="13"/>
  </conditionalFormatting>
  <conditionalFormatting sqref="A200">
    <cfRule type="duplicateValues" dxfId="0" priority="12"/>
  </conditionalFormatting>
  <conditionalFormatting sqref="A201">
    <cfRule type="duplicateValues" dxfId="0" priority="11"/>
  </conditionalFormatting>
  <conditionalFormatting sqref="A202">
    <cfRule type="duplicateValues" dxfId="0" priority="10"/>
  </conditionalFormatting>
  <conditionalFormatting sqref="A203">
    <cfRule type="duplicateValues" dxfId="0" priority="9"/>
  </conditionalFormatting>
  <conditionalFormatting sqref="A204">
    <cfRule type="duplicateValues" dxfId="0" priority="8"/>
  </conditionalFormatting>
  <conditionalFormatting sqref="A205">
    <cfRule type="duplicateValues" dxfId="0" priority="7"/>
  </conditionalFormatting>
  <conditionalFormatting sqref="A206">
    <cfRule type="duplicateValues" dxfId="0" priority="6"/>
  </conditionalFormatting>
  <conditionalFormatting sqref="A207">
    <cfRule type="duplicateValues" dxfId="0" priority="5"/>
  </conditionalFormatting>
  <conditionalFormatting sqref="A208">
    <cfRule type="duplicateValues" dxfId="0" priority="4"/>
  </conditionalFormatting>
  <conditionalFormatting sqref="A224">
    <cfRule type="duplicateValues" dxfId="0" priority="2"/>
  </conditionalFormatting>
  <conditionalFormatting sqref="A209:A223">
    <cfRule type="duplicateValues" dxfId="0" priority="1"/>
  </conditionalFormatting>
  <conditionalFormatting sqref="A225:A266">
    <cfRule type="duplicateValues" dxfId="0" priority="3"/>
  </conditionalFormatting>
  <conditionalFormatting sqref="A1:A148 A267:A1048576">
    <cfRule type="duplicateValues" dxfId="0" priority="64"/>
  </conditionalFormatting>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0C5027E2-3BD2-461B-9C3C-328D0780EAF6}">
  <ds:schemaRefs/>
</ds:datastoreItem>
</file>

<file path=customXml/itemProps2.xml><?xml version="1.0" encoding="utf-8"?>
<ds:datastoreItem xmlns:ds="http://schemas.openxmlformats.org/officeDocument/2006/customXml" ds:itemID="{5AC18E13-2171-4B9D-BA27-7AFC87DB6DA8}">
  <ds:schemaRefs/>
</ds:datastoreItem>
</file>

<file path=customXml/itemProps3.xml><?xml version="1.0" encoding="utf-8"?>
<ds:datastoreItem xmlns:ds="http://schemas.openxmlformats.org/officeDocument/2006/customXml" ds:itemID="{849D0F11-80D0-4A8A-B33A-91CC21A321C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Shi</dc:creator>
  <cp:lastModifiedBy>吕泊潭</cp:lastModifiedBy>
  <dcterms:created xsi:type="dcterms:W3CDTF">2026-02-05T08:53:00Z</dcterms:created>
  <dcterms:modified xsi:type="dcterms:W3CDTF">2026-02-27T04:37:20Z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917DC7B8ADBF450396F593E2E3DB0D20_12</vt:lpwstr>
  </property>
  <property fmtid="{D5CDD505-2E9C-101B-9397-08002B2CF9AE}" pid="3" name="KSOProductBuildVer">
    <vt:lpwstr>2052-12.1.0.25225</vt:lpwstr>
  </property>
  <property fmtid="{D5CDD505-2E9C-101B-9397-08002B2CF9AE}" pid="4" name="CalculationRule">
    <vt:i4>0</vt:i4>
  </property>
  <property fmtid="{D5CDD505-2E9C-101B-9397-08002B2CF9AE}" pid="5" name="MediaServiceImageTags">
    <vt:lpwstr/>
  </property>
  <property fmtid="{D5CDD505-2E9C-101B-9397-08002B2CF9AE}" pid="6" name="ContentTypeId">
    <vt:lpwstr>0x010100901CD48BBF051F4F987919617336A403</vt:lpwstr>
  </property>
</Properties>
</file>